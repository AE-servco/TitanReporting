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 VIC" sheetId="1" state="visible" r:id="rId1"/>
    <sheet name="Bradley VIC" sheetId="2" state="visible" r:id="rId2"/>
    <sheet name="Daniel B VIC" sheetId="3" state="visible" r:id="rId3"/>
    <sheet name="Elliot VIC" sheetId="4" state="visible" r:id="rId4"/>
    <sheet name="Jarrod VIC" sheetId="5" state="visible" r:id="rId5"/>
    <sheet name="Kyle VIC" sheetId="6" state="visible" r:id="rId6"/>
    <sheet name="Liam VIC" sheetId="7" state="visible" r:id="rId7"/>
    <sheet name="Manual Check" sheetId="8" state="visible" r:id="rId8"/>
    <sheet name="Shaun VIC" sheetId="9" state="visible" r:id="rId9"/>
    <sheet name="William E V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1F9C40"/>
    </font>
    <font>
      <color rgb="00FF0000"/>
    </font>
    <font>
      <color rgb="005F4F7D"/>
    </font>
    <font>
      <color rgb="001F9C40"/>
    </font>
  </fonts>
  <fills count="4">
    <fill>
      <patternFill/>
    </fill>
    <fill>
      <patternFill patternType="gray125"/>
    </fill>
    <fill>
      <patternFill patternType="solid">
        <fgColor rgb="003399F2"/>
      </patternFill>
    </fill>
    <fill>
      <patternFill patternType="solid">
        <fgColor rgb="00FFFF00"/>
      </patternFill>
    </fill>
  </fills>
  <borders count="16">
    <border>
      <left/>
      <right/>
      <top/>
      <bottom/>
      <diagonal/>
    </border>
    <border>
      <left style="medium">
        <color rgb="00000000"/>
      </left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right style="medium">
        <color rgb="00000000"/>
      </right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top style="medium">
        <color rgb="00000000"/>
      </top>
    </border>
    <border>
      <left style="medium">
        <color rgb="00000000"/>
      </left>
    </border>
    <border>
      <bottom style="medium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bottom style="double">
        <color rgb="00000000"/>
      </bottom>
    </border>
    <border>
      <left style="medium">
        <color rgb="00000000"/>
      </left>
      <right style="medium">
        <color rgb="00000000"/>
      </right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0" fillId="0" borderId="6" pivotButton="0" quotePrefix="0" xfId="0"/>
    <xf numFmtId="0" fontId="0" fillId="0" borderId="2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3" pivotButton="0" quotePrefix="0" xfId="0"/>
    <xf numFmtId="0" fontId="0" fillId="0" borderId="7" pivotButton="0" quotePrefix="0" xfId="0"/>
    <xf numFmtId="10" fontId="0" fillId="0" borderId="3" pivotButton="0" quotePrefix="0" xfId="0"/>
    <xf numFmtId="0" fontId="1" fillId="0" borderId="7" pivotButton="0" quotePrefix="0" xfId="0"/>
    <xf numFmtId="0" fontId="1" fillId="0" borderId="14" pivotButton="0" quotePrefix="0" xfId="0"/>
    <xf numFmtId="0" fontId="0" fillId="0" borderId="4" pivotButton="0" quotePrefix="0" xfId="0"/>
    <xf numFmtId="0" fontId="0" fillId="0" borderId="8" pivotButton="0" quotePrefix="0" xfId="0"/>
    <xf numFmtId="10" fontId="0" fillId="0" borderId="5" pivotButton="0" quotePrefix="0" xfId="0"/>
    <xf numFmtId="10" fontId="1" fillId="0" borderId="4" pivotButton="0" quotePrefix="0" xfId="0"/>
    <xf numFmtId="0" fontId="0" fillId="0" borderId="9" pivotButton="0" quotePrefix="0" xfId="0"/>
    <xf numFmtId="10" fontId="1" fillId="0" borderId="3" pivotButton="0" quotePrefix="0" xfId="0"/>
    <xf numFmtId="0" fontId="0" fillId="0" borderId="3" pivotButton="0" quotePrefix="0" xfId="0"/>
    <xf numFmtId="0" fontId="3" fillId="0" borderId="0" pivotButton="0" quotePrefix="0" xfId="0"/>
    <xf numFmtId="164" fontId="1" fillId="0" borderId="5" pivotButton="0" quotePrefix="0" xfId="0"/>
    <xf numFmtId="164" fontId="0" fillId="0" borderId="1" pivotButton="0" quotePrefix="0" xfId="0"/>
    <xf numFmtId="164" fontId="4" fillId="0" borderId="2" pivotButton="0" quotePrefix="0" xfId="0"/>
    <xf numFmtId="0" fontId="2" fillId="0" borderId="1" pivotButton="0" quotePrefix="0" xfId="0"/>
    <xf numFmtId="0" fontId="2" fillId="0" borderId="10" pivotButton="0" quotePrefix="0" xfId="0"/>
    <xf numFmtId="10" fontId="0" fillId="0" borderId="7" pivotButton="0" quotePrefix="0" xfId="0"/>
    <xf numFmtId="10" fontId="4" fillId="0" borderId="3" pivotButton="0" quotePrefix="0" xfId="0"/>
    <xf numFmtId="0" fontId="1" fillId="0" borderId="6" pivotButton="0" quotePrefix="0" xfId="0"/>
    <xf numFmtId="0" fontId="3" fillId="0" borderId="1" pivotButton="0" quotePrefix="0" xfId="0"/>
    <xf numFmtId="164" fontId="0" fillId="0" borderId="7" pivotButton="0" quotePrefix="0" xfId="0"/>
    <xf numFmtId="164" fontId="4" fillId="0" borderId="3" pivotButton="0" quotePrefix="0" xfId="0"/>
    <xf numFmtId="164" fontId="3" fillId="0" borderId="0" pivotButton="0" quotePrefix="0" xfId="0"/>
    <xf numFmtId="164" fontId="1" fillId="0" borderId="4" pivotButton="0" quotePrefix="0" xfId="0"/>
    <xf numFmtId="164" fontId="1" fillId="0" borderId="8" pivotButton="0" quotePrefix="0" xfId="0"/>
    <xf numFmtId="164" fontId="3" fillId="0" borderId="4" pivotButton="0" quotePrefix="0" xfId="0"/>
    <xf numFmtId="164" fontId="2" fillId="0" borderId="4" pivotButton="0" quotePrefix="0" xfId="0"/>
    <xf numFmtId="164" fontId="2" fillId="0" borderId="9" pivotButton="0" quotePrefix="0" xfId="0"/>
    <xf numFmtId="0" fontId="4" fillId="0" borderId="3" pivotButton="0" quotePrefix="0" xfId="0"/>
    <xf numFmtId="10" fontId="0" fillId="0" borderId="0" pivotButton="0" quotePrefix="0" xfId="0"/>
    <xf numFmtId="164" fontId="0" fillId="0" borderId="4" pivotButton="0" quotePrefix="0" xfId="0"/>
    <xf numFmtId="164" fontId="4" fillId="0" borderId="5" pivotButton="0" quotePrefix="0" xfId="0"/>
    <xf numFmtId="164" fontId="0" fillId="0" borderId="0" pivotButton="0" quotePrefix="0" xfId="0"/>
    <xf numFmtId="0" fontId="3" fillId="0" borderId="4" pivotButton="0" quotePrefix="0" xfId="0"/>
    <xf numFmtId="0" fontId="1" fillId="2" borderId="1" pivotButton="0" quotePrefix="0" xfId="0"/>
    <xf numFmtId="0" fontId="0" fillId="2" borderId="6" pivotButton="0" quotePrefix="0" xfId="0"/>
    <xf numFmtId="0" fontId="2" fillId="2" borderId="1" pivotButton="0" quotePrefix="0" xfId="0"/>
    <xf numFmtId="0" fontId="2" fillId="2" borderId="10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center"/>
    </xf>
    <xf numFmtId="164" fontId="0" fillId="0" borderId="15" pivotButton="0" quotePrefix="0" xfId="0"/>
    <xf numFmtId="0" fontId="5" fillId="0" borderId="0" pivotButton="0" quotePrefix="0" xfId="0"/>
    <xf numFmtId="164" fontId="0" fillId="0" borderId="13" pivotButton="0" quotePrefix="0" xfId="0"/>
    <xf numFmtId="0" fontId="0" fillId="3" borderId="0" pivotButton="0" quotePrefix="0" xfId="0"/>
    <xf numFmtId="0" fontId="0" fillId="3" borderId="15" pivotButton="0" quotePrefix="0" xfId="0"/>
    <xf numFmtId="0" fontId="6" fillId="0" borderId="0" pivotButton="0" quotePrefix="0" xfId="0"/>
    <xf numFmtId="164" fontId="6" fillId="0" borderId="0" pivotButton="0" quotePrefix="0" xfId="0"/>
    <xf numFmtId="0" fontId="6" fillId="0" borderId="0" applyAlignment="1" pivotButton="0" quotePrefix="0" xfId="0">
      <alignment horizontal="center"/>
    </xf>
    <xf numFmtId="164" fontId="6" fillId="0" borderId="15" pivotButton="0" quotePrefix="0" xfId="0"/>
  </cellXfs>
  <cellStyles count="1">
    <cellStyle name="Normal" xfId="0" builtinId="0" hidden="0"/>
  </cellStyles>
  <dxfs count="2">
    <dxf>
      <font>
        <color rgb="00FF0000"/>
      </font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automation</author>
  </authors>
  <commentList>
    <comment ref="G29" authorId="0" shapeId="0">
      <text>
        <t>SEARCH AND INVESTIGATION OF GAS INSTANTANEOUS HOT WATER SYSTEM</t>
      </text>
    </comment>
    <comment ref="G30" authorId="0" shapeId="0">
      <text>
        <t>COMPLETE SERVICE OF TOILET CISTERN
10% senior discount&amp;nbsp;</t>
      </text>
    </comment>
    <comment ref="G31" authorId="0" shapeId="0">
      <text>
        <t>REPLACEMENT OF WALL TOP TAPWARE 
SUPPLY &amp; INSTALLATION OF NEW DISHWASHER COLD WATER INLET SUPPLY</t>
      </text>
    </comment>
    <comment ref="G32" authorId="0" shapeId="0">
      <text>
        <t xml:space="preserve">SEARCH AND INVESTIGATION OF ELECTRIC STORAGE HOT WATER SYSTEM
</t>
      </text>
    </comment>
    <comment ref="G33" authorId="0" shapeId="0">
      <text>
        <t>HIGH POWERED JET BLAST &amp; CCTV DRAIN CAMERA INSPECTION (SEWER SERVICE)
10% senior discount &amp;nbsp;</t>
      </text>
    </comment>
    <comment ref="G34" authorId="0" shapeId="0">
      <text>
        <t>SUPPLY &amp; INSTALLATION OF NEW WALL FACED TOILET SUITE</t>
      </text>
    </comment>
    <comment ref="G35" authorId="0" shapeId="0">
      <text>
        <t>SUPPLY &amp; INSTALLATION OF NEW TWIN ELEMENT HOT WATER UNIT (INTERNAL)</t>
      </text>
    </comment>
    <comment ref="G36" authorId="0" shapeId="0">
      <text>
        <t xml:space="preserve">REPLACEMENT OF WALL TOP TAPWARE </t>
      </text>
    </comment>
    <comment ref="G37" authorId="0" shapeId="0">
      <text>
        <t xml:space="preserve">SUPPLY &amp; INSTALLATION OF NEW EMERGENCY ISOLATION VALVE </t>
      </text>
    </comment>
    <comment ref="G38" authorId="0" shapeId="0">
      <text>
        <t xml:space="preserve">SEARCH &amp; INVESTIGATION OF DISHWASHER </t>
      </text>
    </comment>
    <comment ref="G82" authorId="0" shapeId="0">
      <text>
        <t>SUPPLY &amp; INSTALLATION OF NEW INSTANTANEOUS GAS HOT WATER SYSTEM (EXTERNAL)
SUPPLY AND INSTALLATION OF RIGHT-ANGLED PRESSURE REGULATING DEVICE FITTED TO 20MM STRAIGHT PIPEWORK
CREDIT OF SEARCH &amp; INVESTIGATION
Waive/Cancellation of Job</t>
      </text>
    </comment>
    <comment ref="G83" authorId="0" shapeId="0">
      <text>
        <t xml:space="preserve">
CREDIT HIGH POWERED JETBLAST &amp; CCTV CAMERA
Customer Satisfaction Discount</t>
      </text>
    </comment>
    <comment ref="G110" authorId="0" shapeId="0">
      <text>
        <t xml:space="preserve">SPECIALIST LEAK DETECTION (WATER SERVICE)
</t>
      </text>
    </comment>
    <comment ref="G111" authorId="0" shapeId="0">
      <text>
        <t>REPLACEMENT OF PLUG &amp; WASTE - 40MM</t>
      </text>
    </comment>
  </commentList>
</comments>
</file>

<file path=xl/comments/comment2.xml><?xml version="1.0" encoding="utf-8"?>
<comments xmlns="http://schemas.openxmlformats.org/spreadsheetml/2006/main">
  <authors>
    <author>automation</author>
  </authors>
  <commentList>
    <comment ref="G29" authorId="0" shapeId="0">
      <text>
        <t>HIGH POWERED JET BLAST &amp; CCTV DRAIN CAMERA INSPECTION (STORM WATER SERVICE)
15% Good Will Discount</t>
      </text>
    </comment>
    <comment ref="G30" authorId="0" shapeId="0">
      <text>
        <t>HIGH POWERED JET BLAST &amp; CCTV DRAIN CAMERA INSPECTION (SEWER SERVICE)
$110 Blocked Drains Discount</t>
      </text>
    </comment>
    <comment ref="G31" authorId="0" shapeId="0">
      <text>
        <t>HIGH POWERED JET BLAST &amp; CCTV DRAIN CAMERA INSPECTION (SEWER SERVICE)
$89 Blocked Drains Discount</t>
      </text>
    </comment>
    <comment ref="G32" authorId="0" shapeId="0">
      <text>
        <t>ROOF LEAK SEARCH &amp; INVESTIGATION
10% Seniors &amp; Pensioners Discount</t>
      </text>
    </comment>
    <comment ref="G33" authorId="0" shapeId="0">
      <text>
        <t>CCTV DRAIN CAMERA INSPECTION OF STORM WATER SERVICE</t>
      </text>
    </comment>
    <comment ref="G34" authorId="0" shapeId="0">
      <text>
        <t>HIGH POWERED JET BLAST &amp; CCTV DRAIN CAMERA INSPECTION (SEWER SERVICE)</t>
      </text>
    </comment>
    <comment ref="G78" authorId="0" shapeId="0">
      <text>
        <t>SEARCH AND INVESTIGATION OF GAS INSTANTANEOUS HOT WATER SYSTEM</t>
      </text>
    </comment>
  </commentList>
</comments>
</file>

<file path=xl/comments/comment3.xml><?xml version="1.0" encoding="utf-8"?>
<comments xmlns="http://schemas.openxmlformats.org/spreadsheetml/2006/main">
  <authors>
    <author>automation</author>
  </authors>
  <commentList>
    <comment ref="G29" authorId="0" shapeId="0">
      <text>
        <t>no invoice items</t>
      </text>
    </comment>
  </commentList>
</comments>
</file>

<file path=xl/comments/comment4.xml><?xml version="1.0" encoding="utf-8"?>
<comments xmlns="http://schemas.openxmlformats.org/spreadsheetml/2006/main">
  <authors>
    <author>automation</author>
  </authors>
  <commentList>
    <comment ref="G29" authorId="0" shapeId="0">
      <text>
        <t xml:space="preserve">SUPPLY &amp; INSTALLATION OF NEW SHOWER WALL TOP TAPS </t>
      </text>
    </comment>
    <comment ref="G30" authorId="0" shapeId="0">
      <text>
        <t>RECTIFICATION OF WATER METER (IN GROUND)
10% Good Will Discount</t>
      </text>
    </comment>
    <comment ref="G31" authorId="0" shapeId="0">
      <text>
        <t xml:space="preserve">
Waive/Cancellation of Job</t>
      </text>
    </comment>
    <comment ref="G32" authorId="0" shapeId="0">
      <text>
        <t>CUSTOMER SUPPLIED POOL PUMP
10% Good Will Discount</t>
      </text>
    </comment>
    <comment ref="G33" authorId="0" shapeId="0">
      <text>
        <t>REPLACEMENT OF BOTTOM INLET CISTERN FILLING VALVE</t>
      </text>
    </comment>
    <comment ref="G34" authorId="0" shapeId="0">
      <text>
        <t xml:space="preserve">SEARCH &amp; INVESTIGATION (GENERAL)
</t>
      </text>
    </comment>
    <comment ref="G35" authorId="0" shapeId="0">
      <text>
        <t>SUPPLY &amp;amp; INSTALLATION OF GAS STORAGE HOT WATER SYSTEM (EXTERNAL)</t>
      </text>
    </comment>
    <comment ref="G36" authorId="0" shapeId="0">
      <text>
        <t>HIGH POWERED SUCTION &amp; ACID TREATMENT
$110 Blocked Drains Discount</t>
      </text>
    </comment>
    <comment ref="G37" authorId="0" shapeId="0">
      <text>
        <t xml:space="preserve">10% Seniors &amp;amp; Pensioners Discount
SUPPLY &amp; INSTALLATION OF NEW SHOWER WALL TOP TAPS </t>
      </text>
    </comment>
    <comment ref="G38" authorId="0" shapeId="0">
      <text>
        <t>SEARCH &amp; INVESTIGATION OF GAS STORAGE HOT WATER SYSTEM</t>
      </text>
    </comment>
    <comment ref="G39" authorId="0" shapeId="0">
      <text>
        <t>SEARCH AND INVESTIGATION OF SOLAR SPLIT HOT WATER SYSTEM</t>
      </text>
    </comment>
    <comment ref="G83" authorId="0" shapeId="0">
      <text>
        <t>SUPPLY &amp; INSTALLATION OF NEW LINK SUITE</t>
      </text>
    </comment>
    <comment ref="G110" authorId="0" shapeId="0">
      <text>
        <t>REPLACEMENT OF SOLAR FROST VALVE</t>
      </text>
    </comment>
  </commentList>
</comments>
</file>

<file path=xl/comments/comment5.xml><?xml version="1.0" encoding="utf-8"?>
<comments xmlns="http://schemas.openxmlformats.org/spreadsheetml/2006/main">
  <authors>
    <author>automation</author>
  </authors>
  <commentList>
    <comment ref="G29" authorId="0" shapeId="0">
      <text>
        <t/>
      </text>
    </comment>
    <comment ref="G30" authorId="0" shapeId="0">
      <text>
        <t>REPLACEMENT OF EXISTING GOOSE NECK KITCHEN MIXER
$85 Off First Service</t>
      </text>
    </comment>
    <comment ref="G31" authorId="0" shapeId="0">
      <text>
        <t>STORMWATER RECTIFICATION
$65 First Service Discount</t>
      </text>
    </comment>
    <comment ref="G32" authorId="0" shapeId="0">
      <text>
        <t>SUPPLY AND INSTALLATION OF PRESSURE REGULATING DEVICE FITTED TO 20MM STRAIGHT PIPEWORK</t>
      </text>
    </comment>
    <comment ref="G33" authorId="0" shapeId="0">
      <text>
        <t>INSTALLATION OF NEW WASHING MACHINE (CUSTOMER SUPPLIED) - REPLACE EXISTING</t>
      </text>
    </comment>
    <comment ref="G77" authorId="0" shapeId="0">
      <text>
        <t>ROOF LEAK SEARCH &amp; INVESTIGATION
Waive/Cancellation of Job</t>
      </text>
    </comment>
    <comment ref="G78" authorId="0" shapeId="0">
      <text>
        <t>SUPPLY &amp; INSTALLATION OF NEW BRASS HOSE TAP</t>
      </text>
    </comment>
    <comment ref="G105" authorId="0" shapeId="0">
      <text>
        <t/>
      </text>
    </comment>
    <comment ref="G106" authorId="0" shapeId="0">
      <text>
        <t>REPLACEMENT OF BASIN SET</t>
      </text>
    </comment>
  </commentList>
</comments>
</file>

<file path=xl/comments/comment6.xml><?xml version="1.0" encoding="utf-8"?>
<comments xmlns="http://schemas.openxmlformats.org/spreadsheetml/2006/main">
  <authors>
    <author>automation</author>
  </authors>
  <commentList>
    <comment ref="G29" authorId="0" shapeId="0">
      <text>
        <t>COMPLETE SERVICE OF TAP TOP ASSEMBLY</t>
      </text>
    </comment>
    <comment ref="G30" authorId="0" shapeId="0">
      <text>
        <t>INSTALLATION OF NEW TOILET SEAT (CUSTOMER SUPPLIED)</t>
      </text>
    </comment>
    <comment ref="G31" authorId="0" shapeId="0">
      <text>
        <t>HIGH POWERED SUCTION &amp; ACID TREATMENT</t>
      </text>
    </comment>
    <comment ref="G32" authorId="0" shapeId="0">
      <text>
        <t>SUPPLY AND INSTALLATION OF STOP VALVE 15MM DUOVALVE</t>
      </text>
    </comment>
  </commentList>
</comments>
</file>

<file path=xl/comments/comment7.xml><?xml version="1.0" encoding="utf-8"?>
<comments xmlns="http://schemas.openxmlformats.org/spreadsheetml/2006/main">
  <authors>
    <author>automation</author>
  </authors>
  <commentList>
    <comment ref="G29" authorId="0" shapeId="0">
      <text>
        <t>ROOF LEAK SEARCH &amp; INVESTIGATION</t>
      </text>
    </comment>
    <comment ref="G30" authorId="0" shapeId="0">
      <text>
        <t xml:space="preserve">WATER SERVICE RECTIFICATION (IN GROUND)
</t>
      </text>
    </comment>
    <comment ref="G31" authorId="0" shapeId="0">
      <text>
        <t>HIGH POWERED JET BLAST &amp; CCTV DRAIN CAMERA INSPECTION (SEWER SERVICE)
$85 Off First Service</t>
      </text>
    </comment>
    <comment ref="G32" authorId="0" shapeId="0">
      <text>
        <t>SEARCH AND INVESTIGATION OF SOLAR SPLIT HOT WATER SYSTEM</t>
      </text>
    </comment>
    <comment ref="G33" authorId="0" shapeId="0">
      <text>
        <t>HIGH POWERED JET BLAST &amp; CCTV DRAIN CAMERA INSPECTION (STORM WATER SERVICE)
10% Seniors &amp; Pensioners Discount</t>
      </text>
    </comment>
    <comment ref="G34" authorId="0" shapeId="0">
      <text>
        <t>FLOOD, DYE, PRESSURE TEST (WET AREA)</t>
      </text>
    </comment>
    <comment ref="G35" authorId="0" shapeId="0">
      <text>
        <t>SUPPLY &amp; INSTALLATION OF NEW PLASTIC TOILET CISTERN
$65 First Service Discount
10% Seniors &amp; Pensioners Discount</t>
      </text>
    </comment>
    <comment ref="G36" authorId="0" shapeId="0">
      <text>
        <t>REPLACEMENT OF EXISTING GOOSE NECK KITCHEN MIXER
10% Good Will Discount</t>
      </text>
    </comment>
    <comment ref="G37" authorId="0" shapeId="0">
      <text>
        <t>WATER SERVICE RECTIFICATION (IN WALL)
$65 First Service Discount</t>
      </text>
    </comment>
    <comment ref="G81" authorId="0" shapeId="0">
      <text>
        <t xml:space="preserve">
10% Seniors &amp;amp; Pensioners Discount
WATER SERVICE RECTIFICATION (IN GROUND)
</t>
      </text>
    </comment>
    <comment ref="G82" authorId="0" shapeId="0">
      <text>
        <t xml:space="preserve">WATER SERVICE RECTIFICATION (IN GROUND)
</t>
      </text>
    </comment>
    <comment ref="G83" authorId="0" shapeId="0">
      <text>
        <t>SEARCH &amp; INVESTIGATION OF IN WALL MIXER
Waive/Cancellation of Job</t>
      </text>
    </comment>
    <comment ref="G110" authorId="0" shapeId="0">
      <text>
        <t xml:space="preserve">
HIGH POWERED JET BLAST &amp; CCTV DRAIN CAMERA INSPECTION (SEWER SERVICE)</t>
      </text>
    </comment>
    <comment ref="G111" authorId="0" shapeId="0">
      <text>
        <t>RECTIFICATION OF IN WALL SHOWER BREACH</t>
      </text>
    </comment>
    <comment ref="G112" authorId="0" shapeId="0">
      <text>
        <t>COMPLETE SERVICE OF IN WALL TOILET CISTERN</t>
      </text>
    </comment>
  </commentList>
</comments>
</file>

<file path=xl/comments/comment8.xml><?xml version="1.0" encoding="utf-8"?>
<comments xmlns="http://schemas.openxmlformats.org/spreadsheetml/2006/main">
  <authors>
    <author>automation</author>
  </authors>
  <commentList>
    <comment ref="G29" authorId="0" shapeId="0">
      <text>
        <t>no invoice items</t>
      </text>
    </comment>
    <comment ref="G100" authorId="0" shapeId="0">
      <text>
        <t>no invoice items</t>
      </text>
    </comment>
  </commentList>
</comments>
</file>

<file path=xl/comments/comment9.xml><?xml version="1.0" encoding="utf-8"?>
<comments xmlns="http://schemas.openxmlformats.org/spreadsheetml/2006/main">
  <authors>
    <author>automation</author>
  </authors>
  <commentList>
    <comment ref="G29" authorId="0" shapeId="0">
      <text>
        <t>HIGH POWERED JET BLAST &amp; CCTV DRAIN CAMERA INSPECTION (STORM WATER SERVICE)
10% Loyalty Discount
ROOF LEAK SEARCH &amp; INVESTIGATION</t>
      </text>
    </comment>
    <comment ref="G30" authorId="0" shapeId="0">
      <text>
        <t xml:space="preserve">
HIGH POWERED JET BLAST &amp; CCTV DRAIN CAMERA INSPECTION IN CONJUNCTION WITH SPECIALIST WHIP HOSE</t>
      </text>
    </comment>
    <comment ref="G31" authorId="0" shapeId="0">
      <text>
        <t>SEARCH &amp; INVESTIGATION OF GAS STORAGE HOT WATER SYSTEM</t>
      </text>
    </comment>
    <comment ref="G32" authorId="0" shapeId="0">
      <text>
        <t>SUPPLY AND INSTALLATION OF EMERGENCY STOP VALVE &amp; BRAIDED FLEXIBLE CONNECTION KIT ON BASIN OR SINK
REPLACEMENT OF BOTTOM INLET CISTERN FILLING VALVE</t>
      </text>
    </comment>
    <comment ref="G33" authorId="0" shapeId="0">
      <text>
        <t>EMERGENCY ISOLATION VALVE - COMBO
10% Seniors &amp; Pensioners Discount</t>
      </text>
    </comment>
    <comment ref="G34" authorId="0" shapeId="0">
      <text>
        <t>SUPPLY &amp; INSTALLATION OF NEW BRASS HOSE TAP</t>
      </text>
    </comment>
    <comment ref="G35" authorId="0" shapeId="0">
      <text>
        <t>SUPPLY &amp; INSTALLATION OF NEW PLASTIC TOILET CISTERN</t>
      </text>
    </comment>
    <comment ref="G36" authorId="0" shapeId="0">
      <text>
        <t>REPLACEMENT OF CISTERN DUAL FLUSHING VALVE (COMPLETE ASSEMBLY)
10% Seniors &amp; Pensioners Discount</t>
      </text>
    </comment>
    <comment ref="G37" authorId="0" shapeId="0">
      <text>
        <t xml:space="preserve">WATER SERVICE RECTIFICATION (IN CONCRETE)
</t>
      </text>
    </comment>
    <comment ref="G38" authorId="0" shapeId="0">
      <text>
        <t>HIGH POWERED JET BLAST &amp; CCTV DRAIN CAMERA INSPECTION (SEWER SERVICE)
10% Seniors &amp; Pensioners Discount
$85 Off First Service</t>
      </text>
    </comment>
    <comment ref="G39" authorId="0" shapeId="0">
      <text>
        <t>ROOF LEAK SEARCH &amp; INVESTIGATION</t>
      </text>
    </comment>
    <comment ref="G110" authorId="0" shapeId="0">
      <text>
        <t>SEARCH AND INVESTIGATION OF STORM WATER PIT / HIGH POWERED JET BLAST &amp; CCTV CAMERA
15% Good Will Discount</t>
      </text>
    </comment>
    <comment ref="G111" authorId="0" shapeId="0">
      <text>
        <t>SUPPLY &amp; INSTALLATION OF GAS STORAGE HOT WATER SYSTEM (EXTERNAL)
10% Seniors &amp; Pensioners Discount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tabColor rgb="003da813"/>
    <outlinePr summaryBelow="1" summaryRight="1"/>
    <pageSetUpPr/>
  </sheetPr>
  <dimension ref="A1:AA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WEEKLY COMMISSION</t>
        </is>
      </c>
      <c r="F1" s="2" t="inlineStr">
        <is>
          <t>WEEK ENDING</t>
        </is>
      </c>
      <c r="G1" s="2" t="inlineStr">
        <is>
          <t>30/11/2025</t>
        </is>
      </c>
    </row>
    <row r="2">
      <c r="K2" s="3" t="inlineStr">
        <is>
          <t>PHOTOS</t>
        </is>
      </c>
      <c r="L2" s="4" t="n"/>
      <c r="M2" s="4" t="n"/>
      <c r="N2" s="3" t="inlineStr">
        <is>
          <t>QUOTE</t>
        </is>
      </c>
      <c r="O2" s="4" t="n"/>
      <c r="P2" s="4" t="n"/>
      <c r="Q2" s="3" t="inlineStr">
        <is>
          <t>INVOICE</t>
        </is>
      </c>
      <c r="R2" s="4" t="n"/>
      <c r="S2" s="5" t="n"/>
      <c r="T2" s="5" t="n"/>
    </row>
    <row r="3">
      <c r="B3" s="3" t="inlineStr">
        <is>
          <t>BOOKED JOBS</t>
        </is>
      </c>
      <c r="C3" s="6">
        <f>B4+B5</f>
        <v/>
      </c>
      <c r="E3" s="3" t="inlineStr">
        <is>
          <t>WEEKLY TARGET</t>
        </is>
      </c>
      <c r="F3" s="4" t="n"/>
      <c r="G3" s="5" t="n"/>
      <c r="K3" s="7" t="inlineStr">
        <is>
          <t>BEFORE</t>
        </is>
      </c>
      <c r="L3" s="8" t="inlineStr">
        <is>
          <t>AFTER</t>
        </is>
      </c>
      <c r="M3" s="8" t="inlineStr">
        <is>
          <t>RECEIPT</t>
        </is>
      </c>
      <c r="N3" s="7" t="inlineStr">
        <is>
          <t>DESCRIPTION</t>
        </is>
      </c>
      <c r="O3" s="8" t="inlineStr">
        <is>
          <t>SIGNED</t>
        </is>
      </c>
      <c r="P3" s="8" t="inlineStr">
        <is>
          <t>EMAILED</t>
        </is>
      </c>
      <c r="Q3" s="7" t="inlineStr">
        <is>
          <t>DESCRIPTION</t>
        </is>
      </c>
      <c r="R3" s="8" t="inlineStr">
        <is>
          <t>SIGNED</t>
        </is>
      </c>
      <c r="S3" s="8" t="inlineStr">
        <is>
          <t>EMAILED</t>
        </is>
      </c>
      <c r="T3" s="9" t="inlineStr">
        <is>
          <t>5 Star Review</t>
        </is>
      </c>
    </row>
    <row r="4">
      <c r="B4" s="1" t="inlineStr">
        <is>
          <t>SUCCESSFUL</t>
        </is>
      </c>
      <c r="C4" s="10">
        <f>O11</f>
        <v/>
      </c>
      <c r="E4" s="11" t="inlineStr">
        <is>
          <t>Tier 1</t>
        </is>
      </c>
      <c r="F4" t="inlineStr">
        <is>
          <t>&lt;$25000</t>
        </is>
      </c>
      <c r="G4" s="12">
        <f>0.05</f>
        <v/>
      </c>
      <c r="J4" s="3" t="inlineStr">
        <is>
          <t>TAKEN</t>
        </is>
      </c>
      <c r="K4" s="13">
        <f>L45</f>
        <v/>
      </c>
      <c r="L4" s="13">
        <f>M45</f>
        <v/>
      </c>
      <c r="M4" s="13">
        <f>N45</f>
        <v/>
      </c>
      <c r="N4" s="13">
        <f>O45</f>
        <v/>
      </c>
      <c r="O4" s="13">
        <f>P45</f>
        <v/>
      </c>
      <c r="P4" s="13">
        <f>Q45</f>
        <v/>
      </c>
      <c r="Q4" s="13">
        <f>R45</f>
        <v/>
      </c>
      <c r="R4" s="13">
        <f>S45</f>
        <v/>
      </c>
      <c r="S4" s="13">
        <f>T45</f>
        <v/>
      </c>
      <c r="T4" s="14">
        <f>SUM(U29:U43) + SUM(U48:U53) + SUM(U82:U88) + SUM(U92:U97) + SUM(U110:U116) + SUM(U120:U125)</f>
        <v/>
      </c>
    </row>
    <row r="5">
      <c r="B5" s="1" t="inlineStr">
        <is>
          <t>UNSUCCESSFUL</t>
        </is>
      </c>
      <c r="C5" s="10">
        <f>O12</f>
        <v/>
      </c>
      <c r="E5" s="15" t="inlineStr">
        <is>
          <t>Tier 2</t>
        </is>
      </c>
      <c r="F5" s="16" t="inlineStr">
        <is>
          <t>&gt;=$25000</t>
        </is>
      </c>
      <c r="G5" s="17">
        <f>0.1</f>
        <v/>
      </c>
      <c r="J5" s="7" t="inlineStr">
        <is>
          <t>%</t>
        </is>
      </c>
      <c r="K5" s="18">
        <f>L45/L44</f>
        <v/>
      </c>
      <c r="L5" s="18">
        <f>M45/M44</f>
        <v/>
      </c>
      <c r="M5" s="18">
        <f>N45/N44</f>
        <v/>
      </c>
      <c r="N5" s="18">
        <f>O45/O44</f>
        <v/>
      </c>
      <c r="O5" s="18">
        <f>P45/P44</f>
        <v/>
      </c>
      <c r="P5" s="18">
        <f>Q45/Q44</f>
        <v/>
      </c>
      <c r="Q5" s="18">
        <f>R45/R44</f>
        <v/>
      </c>
      <c r="R5" s="18">
        <f>S45/S44</f>
        <v/>
      </c>
      <c r="S5" s="18">
        <f>T45/T44</f>
        <v/>
      </c>
      <c r="T5" s="19" t="n"/>
    </row>
    <row r="6">
      <c r="B6" s="1" t="inlineStr">
        <is>
          <t>SUCCESSFUL (%)</t>
        </is>
      </c>
      <c r="C6" s="20">
        <f>O13</f>
        <v/>
      </c>
    </row>
    <row r="7">
      <c r="C7" s="21" t="n"/>
      <c r="F7" s="3" t="inlineStr">
        <is>
          <t>ACTUAL</t>
        </is>
      </c>
      <c r="G7" s="6" t="inlineStr">
        <is>
          <t>POTENTIAL</t>
        </is>
      </c>
      <c r="H7" s="22" t="inlineStr">
        <is>
          <t>Exc. SUPER</t>
        </is>
      </c>
    </row>
    <row r="8">
      <c r="B8" s="7" t="inlineStr">
        <is>
          <t>AVERAGE SALE</t>
        </is>
      </c>
      <c r="C8" s="23">
        <f>O14</f>
        <v/>
      </c>
      <c r="E8" s="3" t="inlineStr">
        <is>
          <t>NET PROFIT</t>
        </is>
      </c>
      <c r="F8" s="24">
        <f>P10-R10</f>
        <v/>
      </c>
      <c r="G8" s="25">
        <f>SUM(I29:I43) + SUM(I82:I88) + SUM(I110:I116) + SUM(I138:I143)</f>
        <v/>
      </c>
      <c r="K8" s="3" t="inlineStr">
        <is>
          <t>DAILY NET PROFIT</t>
        </is>
      </c>
      <c r="L8" s="4" t="n"/>
      <c r="M8" s="4" t="n"/>
      <c r="N8" s="4" t="n"/>
      <c r="O8" s="4" t="n"/>
      <c r="P8" s="4" t="n"/>
      <c r="Q8" s="4" t="n"/>
      <c r="R8" s="26" t="inlineStr">
        <is>
          <t>WEEKDAY</t>
        </is>
      </c>
      <c r="S8" s="27" t="inlineStr">
        <is>
          <t>WEEKEND</t>
        </is>
      </c>
    </row>
    <row r="9">
      <c r="E9" s="13" t="inlineStr">
        <is>
          <t>UNLOCKED</t>
        </is>
      </c>
      <c r="F9" s="28">
        <f>IF(P10&gt;=25000,G5,G4)</f>
        <v/>
      </c>
      <c r="G9" s="29">
        <f>=IF(G8&gt;=25000,G5,G4)</f>
        <v/>
      </c>
      <c r="K9" s="3" t="inlineStr">
        <is>
          <t>MON</t>
        </is>
      </c>
      <c r="L9" s="30" t="inlineStr">
        <is>
          <t>TUE</t>
        </is>
      </c>
      <c r="M9" s="30" t="inlineStr">
        <is>
          <t>WED</t>
        </is>
      </c>
      <c r="N9" s="30" t="inlineStr">
        <is>
          <t>THU</t>
        </is>
      </c>
      <c r="O9" s="30" t="inlineStr">
        <is>
          <t>FRI</t>
        </is>
      </c>
      <c r="P9" s="30" t="inlineStr">
        <is>
          <t>Total</t>
        </is>
      </c>
      <c r="Q9" s="31" t="inlineStr">
        <is>
          <t>SAT</t>
        </is>
      </c>
      <c r="R9" s="26" t="inlineStr">
        <is>
          <t>Awaiting Payment</t>
        </is>
      </c>
      <c r="S9" s="27" t="inlineStr">
        <is>
          <t>Awaiting Payment</t>
        </is>
      </c>
    </row>
    <row r="10">
      <c r="E10" s="13" t="inlineStr">
        <is>
          <t>COMMISSION - PAY OUT</t>
        </is>
      </c>
      <c r="F10" s="32">
        <f>F8*F9</f>
        <v/>
      </c>
      <c r="G10" s="33">
        <f>G8*G9</f>
        <v/>
      </c>
      <c r="H10" s="34">
        <f>F10/1.12</f>
        <v/>
      </c>
      <c r="K10" s="35">
        <f>SUMIF(C29:C43, "24/11/2025", I29:I43) + SUMIF(C48:C53, "24/11/2025", I48:I53) + SUMIF(C82:C88, "24/11/2025", I82:I88) + SUMIF(C92:C97, "24/11/2025", I92:I97) + SUMIF(C110:C116, "24/11/2025", I110:I116) + SUMIF(C120:C125, "24/11/2025", I120:I125)</f>
        <v/>
      </c>
      <c r="L10" s="36">
        <f>SUMIF(C29:C43, "25/11/2025", I29:I43) + SUMIF(C48:C53, "25/11/2025", I48:I53) + SUMIF(C82:C88, "25/11/2025", I82:I88) + SUMIF(C92:C97, "25/11/2025", I92:I97) + SUMIF(C110:C116, "25/11/2025", I110:I116) + SUMIF(C120:C125, "25/11/2025", I120:I125)</f>
        <v/>
      </c>
      <c r="M10" s="36">
        <f>SUMIF(C29:C43, "26/11/2025", I29:I43) + SUMIF(C48:C53, "26/11/2025", I48:I53) + SUMIF(C82:C88, "26/11/2025", I82:I88) + SUMIF(C92:C97, "26/11/2025", I92:I97) + SUMIF(C110:C116, "26/11/2025", I110:I116) + SUMIF(C120:C125, "26/11/2025", I120:I125)</f>
        <v/>
      </c>
      <c r="N10" s="36">
        <f>SUMIF(C29:C43, "27/11/2025", I29:I43) + SUMIF(C48:C53, "27/11/2025", I48:I53) + SUMIF(C82:C88, "27/11/2025", I82:I88) + SUMIF(C92:C97, "27/11/2025", I92:I97) + SUMIF(C110:C116, "27/11/2025", I110:I116) + SUMIF(C120:C125, "27/11/2025", I120:I125)</f>
        <v/>
      </c>
      <c r="O10" s="36">
        <f>SUMIF(C29:C43, "28/11/2025", I29:I43) + SUMIF(C48:C53, "28/11/2025", I48:I53) + SUMIF(C82:C88, "28/11/2025", I82:I88) + SUMIF(C92:C97, "28/11/2025", I92:I97) + SUMIF(C110:C116, "28/11/2025", I110:I116) + SUMIF(C120:C125, "28/11/2025", I120:I125)</f>
        <v/>
      </c>
      <c r="P10" s="36">
        <f>SUM(J10:N10)</f>
        <v/>
      </c>
      <c r="Q10" s="37">
        <f>SUMIF(C29:C43, "29/11/2025", I29:I43) + SUMIF(C48:C53, "29/11/2025", I48:I53) + SUMIF(C82:C88, "29/11/2025", I82:I88) + SUMIF(C92:C97, "29/11/2025", I92:I97) + SUMIF(C110:C116, "29/11/2025", I110:I116) + SUMIF(C120:C125, "29/11/2025", I120:I125)</f>
        <v/>
      </c>
      <c r="R10" s="38">
        <f>SUM(I82:I88) + SUM(I110:I116)</f>
        <v/>
      </c>
      <c r="S10" s="39">
        <f>SUM(I92:I97) + SUM(I120:I125)</f>
        <v/>
      </c>
    </row>
    <row r="11">
      <c r="E11" s="13" t="inlineStr">
        <is>
          <t>EMERGENCY</t>
        </is>
      </c>
      <c r="F11" s="32">
        <f>P10</f>
        <v/>
      </c>
      <c r="G11" s="21" t="n"/>
      <c r="J11" t="inlineStr">
        <is>
          <t>Successful</t>
        </is>
      </c>
      <c r="K11">
        <f>COUNTIF(C29:C43, "24/11/2025") + COUNTIF(C48:C53, "24/11/2025") + COUNTIF(C82:C88, "24/11/2025") + COUNTIF(C92:C97, "24/11/2025") + COUNTIF(C110:C116, "24/11/2025") + COUNTIF(C120:C125, "24/11/2025")</f>
        <v/>
      </c>
      <c r="L11">
        <f>COUNTIF(C29:C43, "25/11/2025") + COUNTIF(C48:C53, "25/11/2025") + COUNTIF(C82:C88, "25/11/2025") + COUNTIF(C92:C97, "25/11/2025") + COUNTIF(C110:C116, "25/11/2025") + COUNTIF(C120:C125, "25/11/2025")</f>
        <v/>
      </c>
      <c r="M11">
        <f>COUNTIF(C29:C43, "26/11/2025") + COUNTIF(C48:C53, "26/11/2025") + COUNTIF(C82:C88, "26/11/2025") + COUNTIF(C92:C97, "26/11/2025") + COUNTIF(C110:C116, "26/11/2025") + COUNTIF(C120:C125, "26/11/2025")</f>
        <v/>
      </c>
      <c r="N11">
        <f>COUNTIF(C29:C43, "27/11/2025") + COUNTIF(C48:C53, "27/11/2025") + COUNTIF(C82:C88, "27/11/2025") + COUNTIF(C92:C97, "27/11/2025") + COUNTIF(C110:C116, "27/11/2025") + COUNTIF(C120:C125, "27/11/2025")</f>
        <v/>
      </c>
      <c r="O11">
        <f>COUNTIF(C29:C43, "28/11/2025") + COUNTIF(C48:C53, "28/11/2025") + COUNTIF(C82:C88, "28/11/2025") + COUNTIF(C92:C97, "28/11/2025") + COUNTIF(C110:C116, "28/11/2025") + COUNTIF(C120:C125, "28/11/2025")</f>
        <v/>
      </c>
      <c r="P11">
        <f>SUM(K11:O11)</f>
        <v/>
      </c>
      <c r="Q11">
        <f>COUNTIF(C29:C43, "29/11/2025") + COUNTIF(C48:C53, "29/11/2025") + COUNTIF(C82:C88, "29/11/2025") + COUNTIF(C92:C97, "29/11/2025") + COUNTIF(C110:C116, "29/11/2025") + COUNTIF(C120:C125, "29/11/2025")</f>
        <v/>
      </c>
    </row>
    <row r="12">
      <c r="E12" s="13" t="inlineStr">
        <is>
          <t>EMERGENCY - PAY OUT</t>
        </is>
      </c>
      <c r="F12" s="32">
        <f>F11*0.25</f>
        <v/>
      </c>
      <c r="G12" s="21" t="n"/>
      <c r="H12" s="34">
        <f>F12/1.12</f>
        <v/>
      </c>
      <c r="J12" t="inlineStr">
        <is>
          <t>Unsuccessful</t>
        </is>
      </c>
      <c r="K12">
        <f>COUNTIF(C138:C143, "24/11/2025") + COUNTIF(C147:C152, "24/11/2025")</f>
        <v/>
      </c>
      <c r="L12">
        <f>COUNTIF(C138:C143, "25/11/2025") + COUNTIF(C147:C152, "25/11/2025")</f>
        <v/>
      </c>
      <c r="M12">
        <f>COUNTIF(C138:C143, "26/11/2025") + COUNTIF(C147:C152, "26/11/2025")</f>
        <v/>
      </c>
      <c r="N12">
        <f>COUNTIF(C138:C143, "27/11/2025") + COUNTIF(C147:C152, "27/11/2025")</f>
        <v/>
      </c>
      <c r="O12">
        <f>COUNTIF(C138:C143, "28/11/2025") + COUNTIF(C147:C152, "28/11/2025")</f>
        <v/>
      </c>
      <c r="P12">
        <f>SUM(K12:O12)</f>
        <v/>
      </c>
      <c r="Q12">
        <f>COUNTIF(C138:C143, "29/11/2025") + COUNTIF(C147:C152, "29/11/2025")</f>
        <v/>
      </c>
    </row>
    <row r="13">
      <c r="E13" s="13" t="inlineStr">
        <is>
          <t>PREV. WEEK</t>
        </is>
      </c>
      <c r="F13" s="11" t="n">
        <v>0</v>
      </c>
      <c r="G13" s="40" t="n">
        <v>0</v>
      </c>
      <c r="J13" t="inlineStr">
        <is>
          <t>Success rate</t>
        </is>
      </c>
      <c r="K13" s="41">
        <f>K11/(K11+K12)</f>
        <v/>
      </c>
      <c r="L13" s="41">
        <f>L11/(L11+L12)</f>
        <v/>
      </c>
      <c r="M13" s="41">
        <f>M11/(M11+M12)</f>
        <v/>
      </c>
      <c r="N13" s="41">
        <f>N11/(N11+N12)</f>
        <v/>
      </c>
      <c r="O13" s="41">
        <f>O11/(O11+O12)</f>
        <v/>
      </c>
      <c r="P13" s="41">
        <f>P11/(P11+P12)</f>
        <v/>
      </c>
      <c r="Q13" s="41">
        <f>Q11/(Q11+Q12)</f>
        <v/>
      </c>
    </row>
    <row r="14">
      <c r="E14" s="7" t="inlineStr">
        <is>
          <t>PREV. WEEK - PAY OUT</t>
        </is>
      </c>
      <c r="F14" s="42">
        <f>F13*0.05</f>
        <v/>
      </c>
      <c r="G14" s="43">
        <f>=G13*0.05</f>
        <v/>
      </c>
      <c r="H14" s="34">
        <f>F14/1.12</f>
        <v/>
      </c>
      <c r="J14" t="inlineStr">
        <is>
          <t>Avg sale</t>
        </is>
      </c>
      <c r="K14" s="44">
        <f>K10/K11</f>
        <v/>
      </c>
      <c r="L14" s="44">
        <f>L10/L11</f>
        <v/>
      </c>
      <c r="M14" s="44">
        <f>M10/M11</f>
        <v/>
      </c>
      <c r="N14" s="44">
        <f>N10/N11</f>
        <v/>
      </c>
      <c r="O14" s="44">
        <f>O10/O11</f>
        <v/>
      </c>
      <c r="P14" s="44">
        <f>P10/P11</f>
        <v/>
      </c>
      <c r="Q14" s="44">
        <f>Q10/Q11</f>
        <v/>
      </c>
    </row>
    <row r="15">
      <c r="E15" s="45" t="inlineStr">
        <is>
          <t>5 Star Review</t>
        </is>
      </c>
      <c r="F15" s="32">
        <f>F16*50</f>
        <v/>
      </c>
    </row>
    <row r="16">
      <c r="E16" s="45" t="inlineStr">
        <is>
          <t>5 Star Notes</t>
        </is>
      </c>
      <c r="F16" s="11">
        <f>T4</f>
        <v/>
      </c>
      <c r="K16" s="46" t="inlineStr">
        <is>
          <t>Management Summary - SALES ONLY - COLUMN F</t>
        </is>
      </c>
      <c r="L16" s="47" t="n"/>
      <c r="M16" s="47" t="n"/>
      <c r="N16" s="47" t="n"/>
      <c r="O16" s="47" t="n"/>
      <c r="P16" s="47" t="n"/>
      <c r="Q16" s="47" t="n"/>
      <c r="R16" s="48" t="inlineStr">
        <is>
          <t>WEEKDAY</t>
        </is>
      </c>
      <c r="S16" s="49" t="inlineStr">
        <is>
          <t>WEEKEND</t>
        </is>
      </c>
    </row>
    <row r="17">
      <c r="K17" s="3" t="inlineStr">
        <is>
          <t>MON</t>
        </is>
      </c>
      <c r="L17" s="30" t="inlineStr">
        <is>
          <t>TUE</t>
        </is>
      </c>
      <c r="M17" s="30" t="inlineStr">
        <is>
          <t>WED</t>
        </is>
      </c>
      <c r="N17" s="30" t="inlineStr">
        <is>
          <t>THU</t>
        </is>
      </c>
      <c r="O17" s="30" t="inlineStr">
        <is>
          <t>FRI</t>
        </is>
      </c>
      <c r="P17" s="30" t="inlineStr">
        <is>
          <t>Total</t>
        </is>
      </c>
      <c r="Q17" s="31" t="inlineStr">
        <is>
          <t>SAT</t>
        </is>
      </c>
      <c r="R17" s="26" t="inlineStr">
        <is>
          <t>Awaiting Payment</t>
        </is>
      </c>
      <c r="S17" s="27" t="inlineStr">
        <is>
          <t>Awaiting Payment</t>
        </is>
      </c>
    </row>
    <row r="18">
      <c r="K18" s="35">
        <f>SUMIF(C29:C43, "24/11/2025", F29:F43) + SUMIF(C48:C53, "24/11/2025", F48:F53) + SUMIF(C82:C88, "24/11/2025", F82:F88) + SUMIF(C92:C97, "24/11/2025", F92:F97) + SUMIF(C110:C116, "24/11/2025", F110:F116) + SUMIF(C120:C125, "24/11/2025", F120:F125)</f>
        <v/>
      </c>
      <c r="L18" s="36">
        <f>SUMIF(C29:C43, "25/11/2025", F29:F43) + SUMIF(C48:C53, "25/11/2025", F48:F53) + SUMIF(C82:C88, "25/11/2025", F82:F88) + SUMIF(C92:C97, "25/11/2025", F92:F97) + SUMIF(C110:C116, "25/11/2025", F110:F116) + SUMIF(C120:C125, "25/11/2025", F120:F125)</f>
        <v/>
      </c>
      <c r="M18" s="36">
        <f>SUMIF(C29:C43, "26/11/2025", F29:F43) + SUMIF(C48:C53, "26/11/2025", F48:F53) + SUMIF(C82:C88, "26/11/2025", F82:F88) + SUMIF(C92:C97, "26/11/2025", F92:F97) + SUMIF(C110:C116, "26/11/2025", F110:F116) + SUMIF(C120:C125, "26/11/2025", F120:F125)</f>
        <v/>
      </c>
      <c r="N18" s="36">
        <f>SUMIF(C29:C43, "27/11/2025", F29:F43) + SUMIF(C48:C53, "27/11/2025", F48:F53) + SUMIF(C82:C88, "27/11/2025", F82:F88) + SUMIF(C92:C97, "27/11/2025", F92:F97) + SUMIF(C110:C116, "27/11/2025", F110:F116) + SUMIF(C120:C125, "27/11/2025", F120:F125)</f>
        <v/>
      </c>
      <c r="O18" s="36">
        <f>SUMIF(C29:C43, "28/11/2025", F29:F43) + SUMIF(C48:C53, "28/11/2025", F48:F53) + SUMIF(C82:C88, "28/11/2025", F82:F88) + SUMIF(C92:C97, "28/11/2025", F92:F97) + SUMIF(C110:C116, "28/11/2025", F110:F116) + SUMIF(C120:C125, "28/11/2025", F120:F125)</f>
        <v/>
      </c>
      <c r="P18" s="36">
        <f>SUM(K18:O18)</f>
        <v/>
      </c>
      <c r="Q18" s="37">
        <f>SUMIF(C29:C43, "29/11/2025", F29:F43) + SUMIF(C48:C53, "29/11/2025", F48:F53) + SUMIF(C82:C88, "29/11/2025", F82:F88) + SUMIF(C92:C97, "29/11/2025", F92:F97) + SUMIF(C110:C116, "29/11/2025", F110:F116) + SUMIF(C120:C125, "29/11/2025", F120:F125)</f>
        <v/>
      </c>
      <c r="R18" s="38">
        <f>SUM(F82:F88) + SUM(F110:F116)</f>
        <v/>
      </c>
      <c r="S18" s="39">
        <f>SUM(F92:F97) + SUM(F120:F125)</f>
        <v/>
      </c>
    </row>
    <row r="19">
      <c r="J19" t="inlineStr">
        <is>
          <t>Successful</t>
        </is>
      </c>
      <c r="K19">
        <f>K11</f>
        <v/>
      </c>
      <c r="L19">
        <f>L11</f>
        <v/>
      </c>
      <c r="M19">
        <f>M11</f>
        <v/>
      </c>
      <c r="N19">
        <f>N11</f>
        <v/>
      </c>
      <c r="O19">
        <f>O11</f>
        <v/>
      </c>
      <c r="P19">
        <f>P11</f>
        <v/>
      </c>
      <c r="Q19">
        <f>Q11</f>
        <v/>
      </c>
    </row>
    <row r="20">
      <c r="J20" t="inlineStr">
        <is>
          <t>Unsuccessful</t>
        </is>
      </c>
      <c r="K20">
        <f>K12</f>
        <v/>
      </c>
      <c r="L20">
        <f>L12</f>
        <v/>
      </c>
      <c r="M20">
        <f>M12</f>
        <v/>
      </c>
      <c r="N20">
        <f>N12</f>
        <v/>
      </c>
      <c r="O20">
        <f>O12</f>
        <v/>
      </c>
      <c r="P20">
        <f>P12</f>
        <v/>
      </c>
      <c r="Q20">
        <f>Q12</f>
        <v/>
      </c>
    </row>
    <row r="21">
      <c r="J21" t="inlineStr">
        <is>
          <t>Success rate</t>
        </is>
      </c>
      <c r="K21" s="41">
        <f>K13</f>
        <v/>
      </c>
      <c r="L21" s="41">
        <f>L13</f>
        <v/>
      </c>
      <c r="M21" s="41">
        <f>M13</f>
        <v/>
      </c>
      <c r="N21" s="41">
        <f>N13</f>
        <v/>
      </c>
      <c r="O21" s="41">
        <f>O13</f>
        <v/>
      </c>
      <c r="P21" s="41">
        <f>P13</f>
        <v/>
      </c>
      <c r="Q21" s="41">
        <f>Q13</f>
        <v/>
      </c>
    </row>
    <row r="22">
      <c r="J22" t="inlineStr">
        <is>
          <t>Avg sale</t>
        </is>
      </c>
      <c r="K22" s="44">
        <f>K18/K19</f>
        <v/>
      </c>
      <c r="L22" s="44">
        <f>L18/L19</f>
        <v/>
      </c>
      <c r="M22" s="44">
        <f>M18/M19</f>
        <v/>
      </c>
      <c r="N22" s="44">
        <f>N18/N19</f>
        <v/>
      </c>
      <c r="O22" s="44">
        <f>O18/O19</f>
        <v/>
      </c>
      <c r="P22" s="44">
        <f>P18/P19</f>
        <v/>
      </c>
      <c r="Q22" s="44">
        <f>Q18/Q19</f>
        <v/>
      </c>
    </row>
    <row r="26">
      <c r="B26" s="50" t="inlineStr">
        <is>
          <t>JOB DETAILS</t>
        </is>
      </c>
      <c r="C26" s="4" t="n"/>
      <c r="D26" s="4" t="n"/>
      <c r="E26" s="4" t="n"/>
      <c r="F26" s="50" t="inlineStr">
        <is>
          <t>JOB AMOUNT</t>
        </is>
      </c>
      <c r="G26" s="4" t="n"/>
      <c r="H26" s="4" t="n"/>
      <c r="I26" s="4" t="n"/>
      <c r="J26" s="4" t="n"/>
      <c r="K26" s="50" t="n"/>
      <c r="L26" s="50" t="inlineStr">
        <is>
          <t>PHOTOS</t>
        </is>
      </c>
      <c r="M26" s="4" t="n"/>
      <c r="N26" s="4" t="n"/>
      <c r="O26" s="50" t="inlineStr">
        <is>
          <t>QUOTE</t>
        </is>
      </c>
      <c r="P26" s="4" t="n"/>
      <c r="Q26" s="4" t="n"/>
      <c r="R26" s="50" t="inlineStr">
        <is>
          <t>INVOICE</t>
        </is>
      </c>
      <c r="S26" s="4" t="n"/>
      <c r="T26" s="4" t="n"/>
      <c r="U26" s="4" t="n"/>
      <c r="V26" s="5" t="inlineStr">
        <is>
          <t>NOTES</t>
        </is>
      </c>
    </row>
    <row r="27">
      <c r="B27" s="15" t="inlineStr">
        <is>
          <t>JOB STATUS</t>
        </is>
      </c>
      <c r="C27" s="16" t="inlineStr">
        <is>
          <t>DATE</t>
        </is>
      </c>
      <c r="D27" s="16" t="inlineStr">
        <is>
          <t>JOB #</t>
        </is>
      </c>
      <c r="E27" s="51" t="inlineStr">
        <is>
          <t>SUBURB</t>
        </is>
      </c>
      <c r="F27" s="16" t="inlineStr">
        <is>
          <t>AMOUNT EXC. GST</t>
        </is>
      </c>
      <c r="G27" s="16" t="inlineStr">
        <is>
          <t>MATERIALS</t>
        </is>
      </c>
      <c r="H27" s="16" t="inlineStr">
        <is>
          <t>MERCHANT FEES</t>
        </is>
      </c>
      <c r="I27" s="16" t="inlineStr">
        <is>
          <t>NET PROFIT</t>
        </is>
      </c>
      <c r="J27" s="51" t="inlineStr">
        <is>
          <t>PAID</t>
        </is>
      </c>
      <c r="K27" s="51" t="inlineStr">
        <is>
          <t>DOC CHECK DONE</t>
        </is>
      </c>
      <c r="L27" s="16" t="inlineStr">
        <is>
          <t>BEFORE</t>
        </is>
      </c>
      <c r="M27" s="16" t="inlineStr">
        <is>
          <t>AFTER</t>
        </is>
      </c>
      <c r="N27" s="51" t="inlineStr">
        <is>
          <t>RECEIPT</t>
        </is>
      </c>
      <c r="O27" s="16" t="inlineStr">
        <is>
          <t>DESCRIPTION</t>
        </is>
      </c>
      <c r="P27" s="16" t="inlineStr">
        <is>
          <t>SIGNED</t>
        </is>
      </c>
      <c r="Q27" s="51" t="inlineStr">
        <is>
          <t>EMAILED</t>
        </is>
      </c>
      <c r="R27" s="16" t="inlineStr">
        <is>
          <t>DESCRIPTION</t>
        </is>
      </c>
      <c r="S27" s="16" t="inlineStr">
        <is>
          <t>SIGNED</t>
        </is>
      </c>
      <c r="T27" s="51" t="inlineStr">
        <is>
          <t>EMAILED</t>
        </is>
      </c>
      <c r="U27" s="16" t="inlineStr">
        <is>
          <t>5 Star Review</t>
        </is>
      </c>
      <c r="V27" s="51" t="n"/>
      <c r="W27" s="52" t="inlineStr">
        <is>
          <t>EFTPOS</t>
        </is>
      </c>
      <c r="X27" s="52" t="inlineStr">
        <is>
          <t>CASH</t>
        </is>
      </c>
      <c r="Y27" s="52" t="inlineStr">
        <is>
          <t>Payment Plan</t>
        </is>
      </c>
    </row>
    <row r="28">
      <c r="B28" t="inlineStr">
        <is>
          <t>COMPLETED &amp; PAID JOBS</t>
        </is>
      </c>
      <c r="W28" s="52" t="n"/>
      <c r="X28" s="52" t="n"/>
      <c r="Y28" s="52" t="n"/>
    </row>
    <row r="29">
      <c r="B29" t="n">
        <v>1</v>
      </c>
      <c r="C29" t="inlineStr">
        <is>
          <t>24/11/2025</t>
        </is>
      </c>
      <c r="D29" t="n">
        <v>100214</v>
      </c>
      <c r="E29" t="inlineStr">
        <is>
          <t>Sydenham</t>
        </is>
      </c>
      <c r="F29" s="44" t="n">
        <v>728.67</v>
      </c>
      <c r="G29" s="44" t="n">
        <v>145.734</v>
      </c>
      <c r="I29" s="44">
        <f>F29-G29-H29</f>
        <v/>
      </c>
      <c r="J29" t="inlineStr">
        <is>
          <t>Credit Card</t>
        </is>
      </c>
      <c r="K29" s="53">
        <f>IF(OR(L29=0, M29=0, N29=0, O29=0, P29=0, Q29=0, R29=0, S29=0, T29=0), "N","Y")</f>
        <v/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s="54">
        <f>721.34+80.20</f>
        <v/>
      </c>
      <c r="X29" s="52" t="n"/>
      <c r="Y29" s="52" t="n"/>
      <c r="Z29" s="55">
        <f>ROUND(F29*1.1,2)</f>
        <v/>
      </c>
      <c r="AA29" s="55">
        <f>ROUND(Z29 - W29 - X29 - Y29,2)</f>
        <v/>
      </c>
    </row>
    <row r="30">
      <c r="B30" t="n">
        <v>2</v>
      </c>
      <c r="C30" t="inlineStr">
        <is>
          <t>25/11/2025</t>
        </is>
      </c>
      <c r="D30" t="n">
        <v>100234</v>
      </c>
      <c r="E30" t="inlineStr">
        <is>
          <t>Port Melbourne</t>
        </is>
      </c>
      <c r="F30" s="44" t="n">
        <v>1095.89</v>
      </c>
      <c r="G30" s="44" t="n">
        <v>219.178</v>
      </c>
      <c r="I30" s="44">
        <f>F30-G30-H30</f>
        <v/>
      </c>
      <c r="J30" t="inlineStr">
        <is>
          <t>Credit Card</t>
        </is>
      </c>
      <c r="K30" s="53">
        <f>IF(OR(L30=0, M30=0, N30=0, O30=0, P30=0, Q30=0, R30=0, S30=0, T30=0), "N","Y")</f>
        <v/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W30" s="54">
        <f>1084.88+120.60</f>
        <v/>
      </c>
      <c r="X30" s="52" t="n"/>
      <c r="Y30" s="52" t="n"/>
      <c r="Z30" s="55">
        <f>ROUND(F30*1.1,2)</f>
        <v/>
      </c>
      <c r="AA30" s="55">
        <f>ROUND(Z30 - W30 - X30 - Y30,2)</f>
        <v/>
      </c>
    </row>
    <row r="31">
      <c r="B31" t="n">
        <v>3</v>
      </c>
      <c r="C31" t="inlineStr">
        <is>
          <t>25/11/2025</t>
        </is>
      </c>
      <c r="D31" t="n">
        <v>100233</v>
      </c>
      <c r="E31" t="inlineStr">
        <is>
          <t>Doreen</t>
        </is>
      </c>
      <c r="F31" s="44" t="n">
        <v>1946.33</v>
      </c>
      <c r="G31" s="44" t="n">
        <v>389.266</v>
      </c>
      <c r="I31" s="44">
        <f>F31-G31-H31</f>
        <v/>
      </c>
      <c r="J31" t="inlineStr">
        <is>
          <t>Credit Card</t>
        </is>
      </c>
      <c r="K31" s="53">
        <f>IF(OR(L31=0, M31=0, N31=0, O31=0, P31=0, Q31=0, R31=0, S31=0, T31=0), "N","Y")</f>
        <v/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W31" s="54">
        <f>2140.96</f>
        <v/>
      </c>
      <c r="X31" s="52" t="n"/>
      <c r="Y31" s="52" t="n"/>
      <c r="Z31" s="55">
        <f>ROUND(F31*1.1,2)</f>
        <v/>
      </c>
      <c r="AA31" s="55">
        <f>ROUND(Z31 - W31 - X31 - Y31,2)</f>
        <v/>
      </c>
    </row>
    <row r="32">
      <c r="B32" t="n">
        <v>4</v>
      </c>
      <c r="C32" t="inlineStr">
        <is>
          <t>25/11/2025</t>
        </is>
      </c>
      <c r="D32" t="n">
        <v>100296</v>
      </c>
      <c r="E32" t="inlineStr">
        <is>
          <t>Hawthorn</t>
        </is>
      </c>
      <c r="F32" s="44" t="n">
        <v>728.67</v>
      </c>
      <c r="G32" s="44" t="n">
        <v>145.734</v>
      </c>
      <c r="I32" s="44">
        <f>F32-G32-H32</f>
        <v/>
      </c>
      <c r="J32" t="inlineStr">
        <is>
          <t>Credit Card</t>
        </is>
      </c>
      <c r="K32" s="53">
        <f>IF(OR(L32=0, M32=0, N32=0, O32=0, P32=0, Q32=0, R32=0, S32=0, T32=0), "N","Y")</f>
        <v/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W32" s="54">
        <f>203.50+721.34+80.20</f>
        <v/>
      </c>
      <c r="X32" s="52" t="n"/>
      <c r="Y32" s="52" t="n"/>
      <c r="Z32" s="55">
        <f>ROUND(F32*1.1,2)</f>
        <v/>
      </c>
      <c r="AA32" s="55">
        <f>ROUND(Z32 - W32 - X32 - Y32,2)</f>
        <v/>
      </c>
    </row>
    <row r="33">
      <c r="B33" t="n">
        <v>5</v>
      </c>
      <c r="C33" t="inlineStr">
        <is>
          <t>26/11/2025</t>
        </is>
      </c>
      <c r="D33" t="n">
        <v>100295</v>
      </c>
      <c r="E33" t="inlineStr">
        <is>
          <t>Albanvale</t>
        </is>
      </c>
      <c r="F33" s="44" t="n">
        <v>1024.2</v>
      </c>
      <c r="G33" s="44" t="n">
        <v>204.84</v>
      </c>
      <c r="I33" s="44">
        <f>F33-G33-H33</f>
        <v/>
      </c>
      <c r="J33" t="inlineStr">
        <is>
          <t>Credit Card</t>
        </is>
      </c>
      <c r="K33" s="53">
        <f>IF(OR(L33=0, M33=0, N33=0, O33=0, P33=0, Q33=0, R33=0, S33=0, T33=0), "N","Y")</f>
        <v/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W33" s="54">
        <f>1013.92+112.70</f>
        <v/>
      </c>
      <c r="X33" s="52" t="n"/>
      <c r="Y33" s="52" t="n"/>
      <c r="Z33" s="55">
        <f>ROUND(F33*1.1,2)</f>
        <v/>
      </c>
      <c r="AA33" s="55">
        <f>ROUND(Z33 - W33 - X33 - Y33,2)</f>
        <v/>
      </c>
    </row>
    <row r="34">
      <c r="B34" t="n">
        <v>6</v>
      </c>
      <c r="C34" t="inlineStr">
        <is>
          <t>26/11/2025</t>
        </is>
      </c>
      <c r="D34" t="n">
        <v>100230</v>
      </c>
      <c r="E34" t="inlineStr">
        <is>
          <t>Rosanna</t>
        </is>
      </c>
      <c r="F34" s="44" t="n">
        <v>2500</v>
      </c>
      <c r="G34" s="44" t="n">
        <v>500</v>
      </c>
      <c r="I34" s="44">
        <f>F34-G34-H34</f>
        <v/>
      </c>
      <c r="J34" t="inlineStr">
        <is>
          <t>Credit Card</t>
        </is>
      </c>
      <c r="K34" s="53">
        <f>IF(OR(L34=0, M34=0, N34=0, O34=0, P34=0, Q34=0, R34=0, S34=0, T34=0), "N","Y")</f>
        <v/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W34" s="54">
        <f>2475.00+275.00</f>
        <v/>
      </c>
      <c r="X34" s="52" t="n"/>
      <c r="Y34" s="52" t="n"/>
      <c r="Z34" s="55">
        <f>ROUND(F34*1.1,2)</f>
        <v/>
      </c>
      <c r="AA34" s="55">
        <f>ROUND(Z34 - W34 - X34 - Y34,2)</f>
        <v/>
      </c>
    </row>
    <row r="35">
      <c r="B35" t="n">
        <v>7</v>
      </c>
      <c r="C35" t="inlineStr">
        <is>
          <t>26/11/2025</t>
        </is>
      </c>
      <c r="D35" t="n">
        <v>100326</v>
      </c>
      <c r="E35" t="inlineStr">
        <is>
          <t>Hawthorn</t>
        </is>
      </c>
      <c r="F35" s="44" t="n">
        <v>8614</v>
      </c>
      <c r="G35" s="44" t="n">
        <v>1722.8</v>
      </c>
      <c r="I35" s="44">
        <f>F35-G35-H35</f>
        <v/>
      </c>
      <c r="J35" t="inlineStr">
        <is>
          <t>Credit Card</t>
        </is>
      </c>
      <c r="K35" s="53">
        <f>IF(OR(L35=0, M35=0, N35=0, O35=0, P35=0, Q35=0, R35=0, S35=0, T35=0), "N","Y")</f>
        <v/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W35" s="54">
        <f>100.00+8427.80+947.60</f>
        <v/>
      </c>
      <c r="X35" s="52" t="n"/>
      <c r="Y35" s="52" t="n"/>
      <c r="Z35" s="55">
        <f>ROUND(F35*1.1,2)</f>
        <v/>
      </c>
      <c r="AA35" s="55">
        <f>ROUND(Z35 - W35 - X35 - Y35,2)</f>
        <v/>
      </c>
    </row>
    <row r="36">
      <c r="B36" t="n">
        <v>8</v>
      </c>
      <c r="C36" t="inlineStr">
        <is>
          <t>27/11/2025</t>
        </is>
      </c>
      <c r="D36" t="n">
        <v>100335</v>
      </c>
      <c r="E36" t="inlineStr">
        <is>
          <t>Eltham</t>
        </is>
      </c>
      <c r="F36" s="44" t="n">
        <v>1217.66</v>
      </c>
      <c r="G36" s="44" t="n">
        <v>243.532</v>
      </c>
      <c r="I36" s="44">
        <f>F36-G36-H36</f>
        <v/>
      </c>
      <c r="J36" t="inlineStr">
        <is>
          <t>Credit Card</t>
        </is>
      </c>
      <c r="K36" s="53">
        <f>IF(OR(L36=0, M36=0, N36=0, O36=0, P36=0, Q36=0, R36=0, S36=0, T36=0), "N","Y")</f>
        <v/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W36" s="54">
        <f>1205.43+134.00</f>
        <v/>
      </c>
      <c r="X36" s="52" t="n"/>
      <c r="Y36" s="52" t="n"/>
      <c r="Z36" s="55">
        <f>ROUND(F36*1.1,2)</f>
        <v/>
      </c>
      <c r="AA36" s="55">
        <f>ROUND(Z36 - W36 - X36 - Y36,2)</f>
        <v/>
      </c>
    </row>
    <row r="37">
      <c r="B37" t="n">
        <v>9</v>
      </c>
      <c r="C37" t="inlineStr">
        <is>
          <t>28/11/2025</t>
        </is>
      </c>
      <c r="D37" t="n">
        <v>100383</v>
      </c>
      <c r="E37" t="inlineStr">
        <is>
          <t>Brunswick East</t>
        </is>
      </c>
      <c r="F37" s="44" t="n">
        <v>681</v>
      </c>
      <c r="G37" s="44" t="n">
        <v>136.2</v>
      </c>
      <c r="I37" s="44">
        <f>F37-G37-H37</f>
        <v/>
      </c>
      <c r="J37" t="inlineStr">
        <is>
          <t>Cash</t>
        </is>
      </c>
      <c r="K37" s="53">
        <f>IF(OR(L37=0, M37=0, N37=0, O37=0, P37=0, Q37=0, R37=0, S37=0, T37=0), "N","Y")</f>
        <v/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W37" s="52" t="n"/>
      <c r="X37" s="54">
        <f>100.00+649.10</f>
        <v/>
      </c>
      <c r="Y37" s="52" t="n"/>
      <c r="Z37" s="55">
        <f>ROUND(F37*1.1,2)</f>
        <v/>
      </c>
      <c r="AA37" s="55">
        <f>ROUND(Z37 - W37 - X37 - Y37,2)</f>
        <v/>
      </c>
    </row>
    <row r="38">
      <c r="B38" t="n">
        <v>10</v>
      </c>
      <c r="C38" t="inlineStr">
        <is>
          <t>28/11/2025</t>
        </is>
      </c>
      <c r="D38" t="n">
        <v>100374</v>
      </c>
      <c r="E38" t="inlineStr">
        <is>
          <t>Brunswick West</t>
        </is>
      </c>
      <c r="F38" s="44" t="n">
        <v>514.67</v>
      </c>
      <c r="G38" s="44" t="n">
        <v>102.934</v>
      </c>
      <c r="I38" s="44">
        <f>F38-G38-H38</f>
        <v/>
      </c>
      <c r="J38" t="inlineStr">
        <is>
          <t>Credit Card</t>
        </is>
      </c>
      <c r="K38" s="53">
        <f>IF(OR(L38=0, M38=0, N38=0, O38=0, P38=0, Q38=0, R38=0, S38=0, T38=0), "N","Y")</f>
        <v/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W38" s="54">
        <f>509.14+57.00</f>
        <v/>
      </c>
      <c r="X38" s="52" t="n"/>
      <c r="Y38" s="52" t="n"/>
      <c r="Z38" s="55">
        <f>ROUND(F38*1.1,2)</f>
        <v/>
      </c>
      <c r="AA38" s="55">
        <f>ROUND(Z38 - W38 - X38 - Y38,2)</f>
        <v/>
      </c>
    </row>
    <row r="39">
      <c r="W39" s="52" t="n"/>
      <c r="X39" s="52" t="n"/>
      <c r="Y39" s="52" t="n"/>
    </row>
    <row r="40">
      <c r="W40" s="52" t="n"/>
      <c r="X40" s="52" t="n"/>
      <c r="Y40" s="52" t="n"/>
    </row>
    <row r="41">
      <c r="W41" s="52" t="n"/>
      <c r="X41" s="52" t="n"/>
      <c r="Y41" s="52" t="n"/>
    </row>
    <row r="42">
      <c r="W42" s="52" t="n"/>
      <c r="X42" s="52" t="n"/>
      <c r="Y42" s="52" t="n"/>
    </row>
    <row r="43">
      <c r="W43" s="52" t="n"/>
      <c r="X43" s="52" t="n"/>
      <c r="Y43" s="52" t="n"/>
    </row>
    <row r="44">
      <c r="F44" s="56">
        <f>SUM(F29:F43)</f>
        <v/>
      </c>
      <c r="G44" s="56">
        <f>SUM(G29:G43)</f>
        <v/>
      </c>
      <c r="H44" s="56">
        <f>SUM(H29:H43)</f>
        <v/>
      </c>
      <c r="I44" s="56">
        <f>SUM(I29:I43)</f>
        <v/>
      </c>
      <c r="L44">
        <f>COUNT(L29:L43)</f>
        <v/>
      </c>
      <c r="M44">
        <f>COUNT(M29:M43)</f>
        <v/>
      </c>
      <c r="N44">
        <f>COUNT(N29:N43)</f>
        <v/>
      </c>
      <c r="O44">
        <f>COUNT(O29:O43)</f>
        <v/>
      </c>
      <c r="P44">
        <f>COUNT(P29:P43)</f>
        <v/>
      </c>
      <c r="Q44">
        <f>COUNT(Q29:Q43)</f>
        <v/>
      </c>
      <c r="R44">
        <f>COUNT(R29:R43)</f>
        <v/>
      </c>
      <c r="S44">
        <f>COUNT(S29:S43)</f>
        <v/>
      </c>
      <c r="T44">
        <f>COUNT(T29:T43)</f>
        <v/>
      </c>
      <c r="U44">
        <f>COUNT(U29:U43)</f>
        <v/>
      </c>
      <c r="W44" s="52" t="n"/>
      <c r="X44" s="52" t="n"/>
      <c r="Y44" s="52" t="n"/>
    </row>
    <row r="45">
      <c r="L45">
        <f>SUM(L29:L43)</f>
        <v/>
      </c>
      <c r="M45">
        <f>SUM(M29:M43)</f>
        <v/>
      </c>
      <c r="N45">
        <f>SUM(N29:N43)</f>
        <v/>
      </c>
      <c r="O45">
        <f>SUM(O29:O43)</f>
        <v/>
      </c>
      <c r="P45">
        <f>SUM(P29:P43)</f>
        <v/>
      </c>
      <c r="Q45">
        <f>SUM(Q29:Q43)</f>
        <v/>
      </c>
      <c r="R45">
        <f>SUM(R29:R43)</f>
        <v/>
      </c>
      <c r="S45">
        <f>SUM(S29:S43)</f>
        <v/>
      </c>
      <c r="T45">
        <f>SUM(T29:T43)</f>
        <v/>
      </c>
      <c r="U45">
        <f>SUM(U29:U43)</f>
        <v/>
      </c>
      <c r="W45" s="52" t="n"/>
      <c r="X45" s="52" t="n"/>
      <c r="Y45" s="52" t="n"/>
    </row>
    <row r="46">
      <c r="W46" s="52" t="n"/>
      <c r="X46" s="52" t="n"/>
      <c r="Y46" s="52" t="n"/>
    </row>
    <row r="47">
      <c r="B47" t="inlineStr">
        <is>
          <t>WEEKEND COMPLETED &amp; PAID JOBS</t>
        </is>
      </c>
      <c r="W47" s="52" t="n"/>
      <c r="X47" s="52" t="n"/>
      <c r="Y47" s="52" t="n"/>
    </row>
    <row r="48">
      <c r="W48" s="52" t="n"/>
      <c r="X48" s="52" t="n"/>
      <c r="Y48" s="52" t="n"/>
    </row>
    <row r="49">
      <c r="W49" s="52" t="n"/>
      <c r="X49" s="52" t="n"/>
      <c r="Y49" s="52" t="n"/>
    </row>
    <row r="50">
      <c r="W50" s="52" t="n"/>
      <c r="X50" s="52" t="n"/>
      <c r="Y50" s="52" t="n"/>
    </row>
    <row r="51">
      <c r="W51" s="52" t="n"/>
      <c r="X51" s="52" t="n"/>
      <c r="Y51" s="52" t="n"/>
    </row>
    <row r="52">
      <c r="W52" s="52" t="n"/>
      <c r="X52" s="52" t="n"/>
      <c r="Y52" s="52" t="n"/>
    </row>
    <row r="53">
      <c r="W53" s="52" t="n"/>
      <c r="X53" s="52" t="n"/>
      <c r="Y53" s="52" t="n"/>
    </row>
    <row r="54">
      <c r="F54" s="56">
        <f>SUM(F48:F53)</f>
        <v/>
      </c>
      <c r="G54" s="56">
        <f>SUM(G48:G53)</f>
        <v/>
      </c>
      <c r="H54" s="56">
        <f>SUM(H48:H53)</f>
        <v/>
      </c>
      <c r="I54" s="56">
        <f>SUM(I48:I53)</f>
        <v/>
      </c>
      <c r="W54" s="52" t="n"/>
      <c r="X54" s="52" t="n"/>
      <c r="Y54" s="52" t="n"/>
    </row>
    <row r="55">
      <c r="W55" s="52" t="n"/>
      <c r="X55" s="52" t="n"/>
      <c r="Y55" s="52" t="n"/>
    </row>
    <row r="56">
      <c r="B56" t="inlineStr">
        <is>
          <t>AFTERHOURS COMPLETED &amp; PAID JOBS</t>
        </is>
      </c>
      <c r="W56" s="52" t="n"/>
      <c r="X56" s="52" t="n"/>
      <c r="Y56" s="52" t="n"/>
    </row>
    <row r="57">
      <c r="W57" s="52" t="n"/>
      <c r="X57" s="52" t="n"/>
      <c r="Y57" s="52" t="n"/>
    </row>
    <row r="58">
      <c r="W58" s="52" t="n"/>
      <c r="X58" s="52" t="n"/>
      <c r="Y58" s="52" t="n"/>
    </row>
    <row r="59">
      <c r="W59" s="52" t="n"/>
      <c r="X59" s="52" t="n"/>
      <c r="Y59" s="52" t="n"/>
    </row>
    <row r="60">
      <c r="W60" s="52" t="n"/>
      <c r="X60" s="52" t="n"/>
      <c r="Y60" s="52" t="n"/>
    </row>
    <row r="61">
      <c r="W61" s="52" t="n"/>
      <c r="X61" s="52" t="n"/>
      <c r="Y61" s="52" t="n"/>
    </row>
    <row r="62">
      <c r="W62" s="52" t="n"/>
      <c r="X62" s="52" t="n"/>
      <c r="Y62" s="52" t="n"/>
    </row>
    <row r="63">
      <c r="F63" s="56">
        <f>SUM(F57:F62)</f>
        <v/>
      </c>
      <c r="G63" s="56">
        <f>SUM(G57:G62)</f>
        <v/>
      </c>
      <c r="H63" s="56">
        <f>SUM(H57:H62)</f>
        <v/>
      </c>
      <c r="I63" s="56">
        <f>SUM(I57:I62)</f>
        <v/>
      </c>
      <c r="W63" s="52" t="n"/>
      <c r="X63" s="52" t="n"/>
      <c r="Y63" s="52" t="n"/>
    </row>
    <row r="64">
      <c r="W64" s="52" t="n"/>
      <c r="X64" s="52" t="n"/>
      <c r="Y64" s="52" t="n"/>
    </row>
    <row r="65">
      <c r="A65" s="57" t="n"/>
      <c r="B65" s="57" t="inlineStr">
        <is>
          <t>PREVIOUS JOBS COMPLETED &amp; PAID (COMMISSION) - Modoras Team Please do ADD to THIS SECTION or AMEND/TOUCH</t>
        </is>
      </c>
      <c r="C65" s="57" t="n"/>
      <c r="D65" s="57" t="n"/>
      <c r="E65" s="57" t="n"/>
      <c r="F65" s="57" t="n"/>
      <c r="G65" s="57" t="n"/>
      <c r="H65" s="57" t="n"/>
      <c r="I65" s="57" t="n"/>
      <c r="J65" s="57" t="n"/>
      <c r="K65" s="57" t="n"/>
      <c r="L65" s="57" t="n"/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8" t="n"/>
      <c r="X65" s="58" t="n"/>
      <c r="Y65" s="52" t="n"/>
    </row>
    <row r="66">
      <c r="A66" s="57" t="n"/>
      <c r="B66" s="57" t="n">
        <v>1</v>
      </c>
      <c r="C66" s="57" t="n"/>
      <c r="D66" s="57" t="n"/>
      <c r="E66" s="57" t="n"/>
      <c r="F66" s="57" t="n"/>
      <c r="G66" s="57" t="n"/>
      <c r="H66" s="57" t="n"/>
      <c r="I66" s="57" t="n"/>
      <c r="J66" s="57" t="n"/>
      <c r="K66" s="57" t="n"/>
      <c r="L66" s="57" t="n"/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8" t="n"/>
      <c r="X66" s="58" t="n"/>
      <c r="Y66" s="52" t="n"/>
    </row>
    <row r="67">
      <c r="A67" s="57" t="n"/>
      <c r="B67" s="57" t="n">
        <v>2</v>
      </c>
      <c r="C67" s="57" t="n"/>
      <c r="D67" s="57" t="n"/>
      <c r="E67" s="57" t="n"/>
      <c r="F67" s="57" t="n"/>
      <c r="G67" s="57" t="n"/>
      <c r="H67" s="57" t="n"/>
      <c r="I67" s="57" t="n"/>
      <c r="J67" s="57" t="n"/>
      <c r="K67" s="57" t="n"/>
      <c r="L67" s="57" t="n"/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8" t="n"/>
      <c r="X67" s="58" t="n"/>
      <c r="Y67" s="52" t="n"/>
    </row>
    <row r="68">
      <c r="A68" s="57" t="n"/>
      <c r="B68" s="57" t="n">
        <v>3</v>
      </c>
      <c r="C68" s="57" t="n"/>
      <c r="D68" s="57" t="n"/>
      <c r="E68" s="57" t="n"/>
      <c r="F68" s="57" t="n"/>
      <c r="G68" s="57" t="n"/>
      <c r="H68" s="57" t="n"/>
      <c r="I68" s="57" t="n"/>
      <c r="J68" s="57" t="n"/>
      <c r="K68" s="57" t="n"/>
      <c r="L68" s="57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8" t="n"/>
      <c r="X68" s="58" t="n"/>
      <c r="Y68" s="52" t="n"/>
    </row>
    <row r="69">
      <c r="A69" s="57" t="n"/>
      <c r="B69" s="57" t="n">
        <v>4</v>
      </c>
      <c r="C69" s="57" t="n"/>
      <c r="D69" s="57" t="n"/>
      <c r="E69" s="57" t="n"/>
      <c r="F69" s="57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8" t="n"/>
      <c r="X69" s="58" t="n"/>
      <c r="Y69" s="52" t="n"/>
    </row>
    <row r="70">
      <c r="A70" s="57" t="n"/>
      <c r="B70" s="57" t="n">
        <v>5</v>
      </c>
      <c r="C70" s="57" t="n"/>
      <c r="D70" s="57" t="n"/>
      <c r="E70" s="57" t="n"/>
      <c r="F70" s="57" t="n"/>
      <c r="G70" s="57" t="n"/>
      <c r="H70" s="57" t="n"/>
      <c r="I70" s="57" t="n"/>
      <c r="J70" s="57" t="n"/>
      <c r="K70" s="57" t="n"/>
      <c r="L70" s="57" t="n"/>
      <c r="M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8" t="n"/>
      <c r="X70" s="58" t="n"/>
      <c r="Y70" s="52" t="n"/>
    </row>
    <row r="71">
      <c r="A71" s="57" t="n"/>
      <c r="B71" s="57" t="n">
        <v>6</v>
      </c>
      <c r="C71" s="57" t="n"/>
      <c r="D71" s="57" t="n"/>
      <c r="E71" s="57" t="n"/>
      <c r="F71" s="57" t="n"/>
      <c r="G71" s="57" t="n"/>
      <c r="H71" s="57" t="n"/>
      <c r="I71" s="57" t="n"/>
      <c r="J71" s="57" t="n"/>
      <c r="K71" s="57" t="n"/>
      <c r="L71" s="57" t="n"/>
      <c r="M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8" t="n"/>
      <c r="X71" s="58" t="n"/>
      <c r="Y71" s="52" t="n"/>
    </row>
    <row r="72">
      <c r="A72" s="57" t="n"/>
      <c r="B72" s="57" t="n">
        <v>7</v>
      </c>
      <c r="C72" s="57" t="n"/>
      <c r="D72" s="57" t="n"/>
      <c r="E72" s="57" t="n"/>
      <c r="F72" s="57" t="n"/>
      <c r="G72" s="57" t="n"/>
      <c r="H72" s="57" t="n"/>
      <c r="I72" s="57" t="n"/>
      <c r="J72" s="57" t="n"/>
      <c r="K72" s="57" t="n"/>
      <c r="L72" s="57" t="n"/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8" t="n"/>
      <c r="X72" s="58" t="n"/>
      <c r="Y72" s="52" t="n"/>
    </row>
    <row r="73">
      <c r="A73" s="57" t="n"/>
      <c r="B73" s="57" t="n">
        <v>8</v>
      </c>
      <c r="C73" s="57" t="n"/>
      <c r="D73" s="57" t="n"/>
      <c r="E73" s="57" t="n"/>
      <c r="F73" s="57" t="n"/>
      <c r="G73" s="57" t="n"/>
      <c r="H73" s="57" t="n"/>
      <c r="I73" s="57" t="n"/>
      <c r="J73" s="57" t="n"/>
      <c r="K73" s="57" t="n"/>
      <c r="L73" s="57" t="n"/>
      <c r="M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8" t="n"/>
      <c r="X73" s="58" t="n"/>
      <c r="Y73" s="52" t="n"/>
    </row>
    <row r="74">
      <c r="W74" s="52" t="n"/>
      <c r="X74" s="52" t="n"/>
      <c r="Y74" s="52" t="n"/>
    </row>
    <row r="75">
      <c r="W75" s="52" t="n"/>
      <c r="X75" s="52" t="n"/>
      <c r="Y75" s="52" t="n"/>
    </row>
    <row r="76">
      <c r="W76" s="52" t="n"/>
      <c r="X76" s="52" t="n"/>
      <c r="Y76" s="52" t="n"/>
    </row>
    <row r="77">
      <c r="W77" s="52" t="n"/>
      <c r="X77" s="52" t="n"/>
      <c r="Y77" s="52" t="n"/>
    </row>
    <row r="78">
      <c r="W78" s="52" t="n"/>
      <c r="X78" s="52" t="n"/>
      <c r="Y78" s="52" t="n"/>
    </row>
    <row r="79">
      <c r="F79" s="56">
        <f>SUM(F66:F78)</f>
        <v/>
      </c>
      <c r="G79" s="56">
        <f>SUM(G66:G78)</f>
        <v/>
      </c>
      <c r="H79" s="56">
        <f>SUM(H66:H78)</f>
        <v/>
      </c>
      <c r="I79" s="56">
        <f>SUM(I66:I78)</f>
        <v/>
      </c>
      <c r="W79" s="52" t="n"/>
      <c r="X79" s="52" t="n"/>
      <c r="Y79" s="52" t="n"/>
    </row>
    <row r="80">
      <c r="W80" s="52" t="n"/>
      <c r="X80" s="52" t="n"/>
      <c r="Y80" s="52" t="n"/>
    </row>
    <row r="81">
      <c r="B81" s="59" t="inlineStr">
        <is>
          <t>CURRENT JOBS COMPLETED (AWAITING PAYMENT)</t>
        </is>
      </c>
      <c r="W81" s="52" t="n"/>
      <c r="X81" s="52" t="n"/>
      <c r="Y81" s="52" t="n"/>
    </row>
    <row r="82">
      <c r="B82" s="59" t="n">
        <v>1</v>
      </c>
      <c r="C82" s="59" t="inlineStr">
        <is>
          <t>24/11/2025</t>
        </is>
      </c>
      <c r="D82" s="59" t="n">
        <v>100252</v>
      </c>
      <c r="E82" s="59" t="inlineStr">
        <is>
          <t>Sydenham</t>
        </is>
      </c>
      <c r="F82" s="60" t="n">
        <v>2990.65</v>
      </c>
      <c r="G82" s="60" t="n">
        <v>598.13</v>
      </c>
      <c r="I82" s="60">
        <f>F82-G82-H82</f>
        <v/>
      </c>
      <c r="J82" s="59" t="inlineStr">
        <is>
          <t>Credit Card, Refund (credit card)</t>
        </is>
      </c>
      <c r="K82" s="61">
        <f>IF(OR(L82=0, M82=0, N82=0, O82=0, P82=0, Q82=0, R82=0, S82=0, T82=0), "N","Y")</f>
        <v/>
      </c>
      <c r="L82" s="59" t="n">
        <v>0</v>
      </c>
      <c r="M82" s="59" t="n">
        <v>0</v>
      </c>
      <c r="N82" s="59" t="n">
        <v>0</v>
      </c>
      <c r="O82" s="59" t="n">
        <v>0</v>
      </c>
      <c r="P82" s="59" t="n">
        <v>0</v>
      </c>
      <c r="Q82" s="59" t="n">
        <v>0</v>
      </c>
      <c r="R82" s="59" t="n">
        <v>0</v>
      </c>
      <c r="S82" s="59" t="n">
        <v>0</v>
      </c>
      <c r="T82" s="59" t="n">
        <v>0</v>
      </c>
      <c r="U82" s="59" t="n">
        <v>0</v>
      </c>
      <c r="W82" s="62">
        <f>6641.97+739.00</f>
        <v/>
      </c>
      <c r="X82" s="52" t="n"/>
      <c r="Y82" s="52" t="n"/>
      <c r="Z82" s="55">
        <f>ROUND(F82*1.1,2)</f>
        <v/>
      </c>
      <c r="AA82" s="55">
        <f>ROUND(Z82 - W82 - X82 - Y82,2)</f>
        <v/>
      </c>
    </row>
    <row r="83">
      <c r="B83" s="59" t="n">
        <v>2</v>
      </c>
      <c r="C83" s="59" t="inlineStr">
        <is>
          <t>26/11/2025</t>
        </is>
      </c>
      <c r="D83" s="59" t="n">
        <v>100308</v>
      </c>
      <c r="E83" s="59" t="inlineStr">
        <is>
          <t>Albanvale</t>
        </is>
      </c>
      <c r="F83" s="60" t="n">
        <v>7727.27</v>
      </c>
      <c r="G83" s="60" t="n">
        <v>1545.454</v>
      </c>
      <c r="I83" s="60">
        <f>F83-G83-H83</f>
        <v/>
      </c>
      <c r="J83" s="59" t="inlineStr">
        <is>
          <t>Credit Card</t>
        </is>
      </c>
      <c r="K83" s="61">
        <f>IF(OR(L83=0, M83=0, N83=0, O83=0, P83=0, Q83=0, R83=0, S83=0, T83=0), "N","Y")</f>
        <v/>
      </c>
      <c r="L83" s="59" t="n">
        <v>0</v>
      </c>
      <c r="M83" s="59" t="n">
        <v>0</v>
      </c>
      <c r="N83" s="59" t="n">
        <v>0</v>
      </c>
      <c r="O83" s="59" t="n">
        <v>0</v>
      </c>
      <c r="P83" s="59" t="n">
        <v>0</v>
      </c>
      <c r="Q83" s="59" t="n">
        <v>0</v>
      </c>
      <c r="R83" s="59" t="n">
        <v>0</v>
      </c>
      <c r="S83" s="59" t="n">
        <v>0</v>
      </c>
      <c r="T83" s="59" t="n">
        <v>0</v>
      </c>
      <c r="U83" s="59" t="n">
        <v>0</v>
      </c>
      <c r="W83" s="62">
        <f>1000.00</f>
        <v/>
      </c>
      <c r="X83" s="52" t="n"/>
      <c r="Y83" s="52" t="n"/>
      <c r="Z83" s="55">
        <f>ROUND(F83*1.1,2)</f>
        <v/>
      </c>
      <c r="AA83" s="55">
        <f>ROUND(Z83 - W83 - X83 - Y83,2)</f>
        <v/>
      </c>
    </row>
    <row r="84">
      <c r="W84" s="52" t="n"/>
      <c r="X84" s="52" t="n"/>
      <c r="Y84" s="52" t="n"/>
    </row>
    <row r="85">
      <c r="W85" s="52" t="n"/>
      <c r="X85" s="52" t="n"/>
      <c r="Y85" s="52" t="n"/>
    </row>
    <row r="86">
      <c r="W86" s="52" t="n"/>
      <c r="X86" s="52" t="n"/>
      <c r="Y86" s="52" t="n"/>
    </row>
    <row r="87">
      <c r="W87" s="52" t="n"/>
      <c r="X87" s="52" t="n"/>
      <c r="Y87" s="52" t="n"/>
    </row>
    <row r="88">
      <c r="W88" s="52" t="n"/>
      <c r="X88" s="52" t="n"/>
      <c r="Y88" s="52" t="n"/>
    </row>
    <row r="89">
      <c r="F89" s="56">
        <f>SUM(F82:F88)</f>
        <v/>
      </c>
      <c r="G89" s="56">
        <f>SUM(G82:G88)</f>
        <v/>
      </c>
      <c r="H89" s="56">
        <f>SUM(H82:H88)</f>
        <v/>
      </c>
      <c r="I89" s="56">
        <f>SUM(I82:I88)</f>
        <v/>
      </c>
      <c r="W89" s="52" t="n"/>
      <c r="X89" s="52" t="n"/>
      <c r="Y89" s="52" t="n"/>
    </row>
    <row r="90">
      <c r="W90" s="52" t="n"/>
      <c r="X90" s="52" t="n"/>
      <c r="Y90" s="52" t="n"/>
    </row>
    <row r="91">
      <c r="B91" s="59" t="inlineStr">
        <is>
          <t>WEEKEND CURRENT JOBS COMPLETED (AWAITING PAYMENT)</t>
        </is>
      </c>
      <c r="W91" s="52" t="n"/>
      <c r="X91" s="52" t="n"/>
      <c r="Y91" s="52" t="n"/>
    </row>
    <row r="92">
      <c r="W92" s="52" t="n"/>
      <c r="X92" s="52" t="n"/>
      <c r="Y92" s="52" t="n"/>
    </row>
    <row r="93">
      <c r="W93" s="52" t="n"/>
      <c r="X93" s="52" t="n"/>
      <c r="Y93" s="52" t="n"/>
    </row>
    <row r="94">
      <c r="W94" s="52" t="n"/>
      <c r="X94" s="52" t="n"/>
      <c r="Y94" s="52" t="n"/>
    </row>
    <row r="95">
      <c r="W95" s="52" t="n"/>
      <c r="X95" s="52" t="n"/>
      <c r="Y95" s="52" t="n"/>
    </row>
    <row r="96">
      <c r="W96" s="52" t="n"/>
      <c r="X96" s="52" t="n"/>
      <c r="Y96" s="52" t="n"/>
    </row>
    <row r="97">
      <c r="W97" s="52" t="n"/>
      <c r="X97" s="52" t="n"/>
      <c r="Y97" s="52" t="n"/>
    </row>
    <row r="98">
      <c r="F98" s="56">
        <f>SUM(F92:F97)</f>
        <v/>
      </c>
      <c r="G98" s="56">
        <f>SUM(G92:G97)</f>
        <v/>
      </c>
      <c r="H98" s="56">
        <f>SUM(H92:H97)</f>
        <v/>
      </c>
      <c r="I98" s="56">
        <f>SUM(I92:I97)</f>
        <v/>
      </c>
      <c r="W98" s="52" t="n"/>
      <c r="X98" s="52" t="n"/>
      <c r="Y98" s="52" t="n"/>
    </row>
    <row r="99">
      <c r="W99" s="52" t="n"/>
      <c r="X99" s="52" t="n"/>
      <c r="Y99" s="52" t="n"/>
    </row>
    <row r="100">
      <c r="B100" t="inlineStr">
        <is>
          <t>AFTERHOURS CURRENT JOBS COMPLETED (AWAITING PAYMENT)</t>
        </is>
      </c>
      <c r="W100" s="52" t="n"/>
      <c r="X100" s="52" t="n"/>
      <c r="Y100" s="52" t="n"/>
    </row>
    <row r="101">
      <c r="W101" s="52" t="n"/>
      <c r="X101" s="52" t="n"/>
      <c r="Y101" s="52" t="n"/>
    </row>
    <row r="102">
      <c r="W102" s="52" t="n"/>
      <c r="X102" s="52" t="n"/>
      <c r="Y102" s="52" t="n"/>
    </row>
    <row r="103">
      <c r="W103" s="52" t="n"/>
      <c r="X103" s="52" t="n"/>
      <c r="Y103" s="52" t="n"/>
    </row>
    <row r="104">
      <c r="W104" s="52" t="n"/>
      <c r="X104" s="52" t="n"/>
      <c r="Y104" s="52" t="n"/>
    </row>
    <row r="105">
      <c r="W105" s="52" t="n"/>
      <c r="X105" s="52" t="n"/>
      <c r="Y105" s="52" t="n"/>
    </row>
    <row r="106">
      <c r="W106" s="52" t="n"/>
      <c r="X106" s="52" t="n"/>
      <c r="Y106" s="52" t="n"/>
    </row>
    <row r="107">
      <c r="F107" s="56">
        <f>SUM(F101:F106)</f>
        <v/>
      </c>
      <c r="G107" s="56">
        <f>SUM(G101:G106)</f>
        <v/>
      </c>
      <c r="H107" s="56">
        <f>SUM(H101:H106)</f>
        <v/>
      </c>
      <c r="I107" s="56">
        <f>SUM(I101:I106)</f>
        <v/>
      </c>
      <c r="W107" s="52" t="n"/>
      <c r="X107" s="52" t="n"/>
      <c r="Y107" s="52" t="n"/>
    </row>
    <row r="108">
      <c r="W108" s="52" t="n"/>
      <c r="X108" s="52" t="n"/>
      <c r="Y108" s="52" t="n"/>
    </row>
    <row r="109">
      <c r="B109" s="59" t="inlineStr">
        <is>
          <t>CURRENT WORK ORDERS (AWAITING PAYMENT)</t>
        </is>
      </c>
      <c r="W109" s="52" t="n"/>
      <c r="X109" s="52" t="n"/>
      <c r="Y109" s="52" t="n"/>
    </row>
    <row r="110">
      <c r="B110" s="59" t="n">
        <v>1</v>
      </c>
      <c r="C110" s="59" t="inlineStr">
        <is>
          <t>27/11/2025</t>
        </is>
      </c>
      <c r="D110" s="59" t="n">
        <v>100300</v>
      </c>
      <c r="E110" s="59" t="inlineStr">
        <is>
          <t>Macleod</t>
        </is>
      </c>
      <c r="F110" s="60" t="n">
        <v>2861</v>
      </c>
      <c r="G110" s="60" t="n">
        <v>572.2</v>
      </c>
      <c r="I110" s="60">
        <f>F110-G110-H110</f>
        <v/>
      </c>
      <c r="J110" s="59" t="inlineStr">
        <is>
          <t>Credit Card, EFT/Bank Transfer</t>
        </is>
      </c>
      <c r="K110" s="61">
        <f>IF(OR(L110=0, M110=0, N110=0, O110=0, P110=0, Q110=0, R110=0, S110=0, T110=0), "N","Y")</f>
        <v/>
      </c>
      <c r="L110" s="59" t="n">
        <v>0</v>
      </c>
      <c r="M110" s="59" t="n">
        <v>0</v>
      </c>
      <c r="N110" s="59" t="n">
        <v>0</v>
      </c>
      <c r="O110" s="59" t="n">
        <v>0</v>
      </c>
      <c r="P110" s="59" t="n">
        <v>0</v>
      </c>
      <c r="Q110" s="59" t="n">
        <v>0</v>
      </c>
      <c r="R110" s="59" t="n">
        <v>0</v>
      </c>
      <c r="S110" s="59" t="n">
        <v>0</v>
      </c>
      <c r="T110" s="59" t="n">
        <v>0</v>
      </c>
      <c r="U110" s="59" t="n">
        <v>0</v>
      </c>
      <c r="W110" s="62">
        <f>2925.90+314.70</f>
        <v/>
      </c>
      <c r="X110" s="52" t="n"/>
      <c r="Y110" s="52" t="n"/>
      <c r="Z110" s="55">
        <f>ROUND(F110*1.1,2)</f>
        <v/>
      </c>
      <c r="AA110" s="55">
        <f>ROUND(Z110 - W110 - X110 - Y110,2)</f>
        <v/>
      </c>
    </row>
    <row r="111">
      <c r="B111" s="59" t="n">
        <v>2</v>
      </c>
      <c r="C111" s="59" t="inlineStr">
        <is>
          <t>28/11/2025</t>
        </is>
      </c>
      <c r="D111" s="59" t="n">
        <v>100380</v>
      </c>
      <c r="E111" s="59" t="inlineStr">
        <is>
          <t>Pascoe Vale</t>
        </is>
      </c>
      <c r="F111" s="60" t="n">
        <v>921.27</v>
      </c>
      <c r="G111" s="60" t="n">
        <v>184.254</v>
      </c>
      <c r="I111" s="60">
        <f>F111-G111-H111</f>
        <v/>
      </c>
      <c r="J111" s="59" t="inlineStr">
        <is>
          <t>Credit Card, EFT/Bank Transfer</t>
        </is>
      </c>
      <c r="K111" s="61">
        <f>IF(OR(L111=0, M111=0, N111=0, O111=0, P111=0, Q111=0, R111=0, S111=0, T111=0), "N","Y")</f>
        <v/>
      </c>
      <c r="L111" s="59" t="n">
        <v>0</v>
      </c>
      <c r="M111" s="59" t="n">
        <v>0</v>
      </c>
      <c r="N111" s="59" t="n">
        <v>0</v>
      </c>
      <c r="O111" s="59" t="n">
        <v>0</v>
      </c>
      <c r="P111" s="59" t="n">
        <v>0</v>
      </c>
      <c r="Q111" s="59" t="n">
        <v>0</v>
      </c>
      <c r="R111" s="59" t="n">
        <v>0</v>
      </c>
      <c r="S111" s="59" t="n">
        <v>0</v>
      </c>
      <c r="T111" s="59" t="n">
        <v>0</v>
      </c>
      <c r="U111" s="59" t="n">
        <v>0</v>
      </c>
      <c r="W111" s="62">
        <f>361.40+102.00+550.00</f>
        <v/>
      </c>
      <c r="X111" s="52" t="n"/>
      <c r="Y111" s="52" t="n"/>
      <c r="Z111" s="55">
        <f>ROUND(F111*1.1,2)</f>
        <v/>
      </c>
      <c r="AA111" s="55">
        <f>ROUND(Z111 - W111 - X111 - Y111,2)</f>
        <v/>
      </c>
    </row>
    <row r="112">
      <c r="W112" s="52" t="n"/>
      <c r="X112" s="52" t="n"/>
      <c r="Y112" s="52" t="n"/>
    </row>
    <row r="113">
      <c r="W113" s="52" t="n"/>
      <c r="X113" s="52" t="n"/>
      <c r="Y113" s="52" t="n"/>
    </row>
    <row r="114">
      <c r="W114" s="52" t="n"/>
      <c r="X114" s="52" t="n"/>
      <c r="Y114" s="52" t="n"/>
    </row>
    <row r="115">
      <c r="W115" s="52" t="n"/>
      <c r="X115" s="52" t="n"/>
      <c r="Y115" s="52" t="n"/>
    </row>
    <row r="116">
      <c r="W116" s="52" t="n"/>
      <c r="X116" s="52" t="n"/>
      <c r="Y116" s="52" t="n"/>
    </row>
    <row r="117">
      <c r="F117" s="56">
        <f>SUM(F110:F116)</f>
        <v/>
      </c>
      <c r="G117" s="56">
        <f>SUM(G110:G116)</f>
        <v/>
      </c>
      <c r="H117" s="56">
        <f>SUM(H110:H116)</f>
        <v/>
      </c>
      <c r="I117" s="56">
        <f>SUM(I110:I116)</f>
        <v/>
      </c>
      <c r="W117" s="52" t="n"/>
      <c r="X117" s="52" t="n"/>
      <c r="Y117" s="52" t="n"/>
    </row>
    <row r="118">
      <c r="W118" s="52" t="n"/>
      <c r="X118" s="52" t="n"/>
      <c r="Y118" s="52" t="n"/>
    </row>
    <row r="119">
      <c r="B119" s="59" t="inlineStr">
        <is>
          <t>WEEKEND WORK ORDERS (AWAITING PAYMENT)</t>
        </is>
      </c>
      <c r="W119" s="52" t="n"/>
      <c r="X119" s="52" t="n"/>
      <c r="Y119" s="52" t="n"/>
    </row>
    <row r="120">
      <c r="W120" s="52" t="n"/>
      <c r="X120" s="52" t="n"/>
      <c r="Y120" s="52" t="n"/>
    </row>
    <row r="121">
      <c r="W121" s="52" t="n"/>
      <c r="X121" s="52" t="n"/>
      <c r="Y121" s="52" t="n"/>
    </row>
    <row r="122">
      <c r="W122" s="52" t="n"/>
      <c r="X122" s="52" t="n"/>
      <c r="Y122" s="52" t="n"/>
    </row>
    <row r="123">
      <c r="W123" s="52" t="n"/>
      <c r="X123" s="52" t="n"/>
      <c r="Y123" s="52" t="n"/>
    </row>
    <row r="124">
      <c r="W124" s="52" t="n"/>
      <c r="X124" s="52" t="n"/>
      <c r="Y124" s="52" t="n"/>
    </row>
    <row r="125">
      <c r="W125" s="52" t="n"/>
      <c r="X125" s="52" t="n"/>
      <c r="Y125" s="52" t="n"/>
    </row>
    <row r="126">
      <c r="F126" s="56">
        <f>SUM(F120:F125)</f>
        <v/>
      </c>
      <c r="G126" s="56">
        <f>SUM(G120:G125)</f>
        <v/>
      </c>
      <c r="H126" s="56">
        <f>SUM(H120:H125)</f>
        <v/>
      </c>
      <c r="I126" s="56">
        <f>SUM(I120:I125)</f>
        <v/>
      </c>
      <c r="W126" s="52" t="n"/>
      <c r="X126" s="52" t="n"/>
      <c r="Y126" s="52" t="n"/>
    </row>
    <row r="127">
      <c r="W127" s="52" t="n"/>
      <c r="X127" s="52" t="n"/>
      <c r="Y127" s="52" t="n"/>
    </row>
    <row r="128">
      <c r="B128" t="inlineStr">
        <is>
          <t>AFTERHOURS WORK ORDERS (AWAITING PAYMENT)</t>
        </is>
      </c>
      <c r="W128" s="52" t="n"/>
      <c r="X128" s="52" t="n"/>
      <c r="Y128" s="52" t="n"/>
    </row>
    <row r="129">
      <c r="W129" s="52" t="n"/>
      <c r="X129" s="52" t="n"/>
      <c r="Y129" s="52" t="n"/>
    </row>
    <row r="130">
      <c r="W130" s="52" t="n"/>
      <c r="X130" s="52" t="n"/>
      <c r="Y130" s="52" t="n"/>
    </row>
    <row r="131">
      <c r="W131" s="52" t="n"/>
      <c r="X131" s="52" t="n"/>
      <c r="Y131" s="52" t="n"/>
    </row>
    <row r="132">
      <c r="W132" s="52" t="n"/>
      <c r="X132" s="52" t="n"/>
      <c r="Y132" s="52" t="n"/>
    </row>
    <row r="133">
      <c r="W133" s="52" t="n"/>
      <c r="X133" s="52" t="n"/>
      <c r="Y133" s="52" t="n"/>
    </row>
    <row r="134">
      <c r="W134" s="52" t="n"/>
      <c r="X134" s="52" t="n"/>
      <c r="Y134" s="52" t="n"/>
    </row>
    <row r="135">
      <c r="F135" s="56">
        <f>SUM(F129:F134)</f>
        <v/>
      </c>
      <c r="G135" s="56">
        <f>SUM(G129:G134)</f>
        <v/>
      </c>
      <c r="H135" s="56">
        <f>SUM(H129:H134)</f>
        <v/>
      </c>
      <c r="I135" s="56">
        <f>SUM(I129:I134)</f>
        <v/>
      </c>
      <c r="W135" s="52" t="n"/>
      <c r="X135" s="52" t="n"/>
      <c r="Y135" s="52" t="n"/>
    </row>
    <row r="136">
      <c r="W136" s="52" t="n"/>
      <c r="X136" s="52" t="n"/>
      <c r="Y136" s="52" t="n"/>
    </row>
    <row r="137">
      <c r="B137" t="inlineStr">
        <is>
          <t>UNSUCCESSFUL JOBS</t>
        </is>
      </c>
      <c r="W137" s="52" t="n"/>
      <c r="X137" s="52" t="n"/>
      <c r="Y137" s="52" t="n"/>
    </row>
    <row r="138">
      <c r="W138" s="52" t="n"/>
      <c r="X138" s="52" t="n"/>
      <c r="Y138" s="52" t="n"/>
    </row>
    <row r="139">
      <c r="W139" s="52" t="n"/>
      <c r="X139" s="52" t="n"/>
      <c r="Y139" s="52" t="n"/>
    </row>
    <row r="140">
      <c r="W140" s="52" t="n"/>
      <c r="X140" s="52" t="n"/>
      <c r="Y140" s="52" t="n"/>
    </row>
    <row r="141">
      <c r="W141" s="52" t="n"/>
      <c r="X141" s="52" t="n"/>
      <c r="Y141" s="52" t="n"/>
    </row>
    <row r="142">
      <c r="W142" s="52" t="n"/>
      <c r="X142" s="52" t="n"/>
      <c r="Y142" s="52" t="n"/>
    </row>
    <row r="143">
      <c r="W143" s="52" t="n"/>
      <c r="X143" s="52" t="n"/>
      <c r="Y143" s="52" t="n"/>
    </row>
    <row r="144">
      <c r="F144" s="56">
        <f>SUM(F138:F143)</f>
        <v/>
      </c>
      <c r="G144" s="56">
        <f>SUM(G138:G143)</f>
        <v/>
      </c>
      <c r="H144" s="56">
        <f>SUM(H138:H143)</f>
        <v/>
      </c>
      <c r="I144" s="56">
        <f>SUM(I138:I143)</f>
        <v/>
      </c>
      <c r="W144" s="52" t="n"/>
      <c r="X144" s="52" t="n"/>
      <c r="Y144" s="52" t="n"/>
    </row>
    <row r="145">
      <c r="W145" s="52" t="n"/>
      <c r="X145" s="52" t="n"/>
      <c r="Y145" s="52" t="n"/>
    </row>
    <row r="146">
      <c r="B146" t="inlineStr">
        <is>
          <t>WEEKEND UNSUCCESSFUL JOBS</t>
        </is>
      </c>
      <c r="W146" s="52" t="n"/>
      <c r="X146" s="52" t="n"/>
      <c r="Y146" s="52" t="n"/>
    </row>
    <row r="147">
      <c r="W147" s="52" t="n"/>
      <c r="X147" s="52" t="n"/>
      <c r="Y147" s="52" t="n"/>
    </row>
    <row r="148">
      <c r="W148" s="52" t="n"/>
      <c r="X148" s="52" t="n"/>
      <c r="Y148" s="52" t="n"/>
    </row>
    <row r="149">
      <c r="W149" s="52" t="n"/>
      <c r="X149" s="52" t="n"/>
      <c r="Y149" s="52" t="n"/>
    </row>
    <row r="150">
      <c r="W150" s="52" t="n"/>
      <c r="X150" s="52" t="n"/>
      <c r="Y150" s="52" t="n"/>
    </row>
    <row r="151">
      <c r="W151" s="52" t="n"/>
      <c r="X151" s="52" t="n"/>
      <c r="Y151" s="52" t="n"/>
    </row>
    <row r="152">
      <c r="W152" s="52" t="n"/>
      <c r="X152" s="52" t="n"/>
      <c r="Y152" s="52" t="n"/>
    </row>
    <row r="153">
      <c r="F153" s="56">
        <f>SUM(F147:F152)</f>
        <v/>
      </c>
      <c r="G153" s="56">
        <f>SUM(G147:G152)</f>
        <v/>
      </c>
      <c r="H153" s="56">
        <f>SUM(H147:H152)</f>
        <v/>
      </c>
      <c r="I153" s="56">
        <f>SUM(I147:I152)</f>
        <v/>
      </c>
      <c r="W153" s="52" t="n"/>
      <c r="X153" s="52" t="n"/>
      <c r="Y153" s="52" t="n"/>
    </row>
    <row r="154">
      <c r="W154" s="52" t="n"/>
      <c r="X154" s="52" t="n"/>
      <c r="Y154" s="52" t="n"/>
    </row>
    <row r="155">
      <c r="B155" t="inlineStr">
        <is>
          <t>AFTERHOURS UNSUCCESSFUL JOBS</t>
        </is>
      </c>
      <c r="W155" s="52" t="n"/>
      <c r="X155" s="52" t="n"/>
      <c r="Y155" s="52" t="n"/>
    </row>
    <row r="156">
      <c r="W156" s="52" t="n"/>
      <c r="X156" s="52" t="n"/>
      <c r="Y156" s="52" t="n"/>
    </row>
    <row r="157">
      <c r="W157" s="52" t="n"/>
      <c r="X157" s="52" t="n"/>
      <c r="Y157" s="52" t="n"/>
    </row>
    <row r="158">
      <c r="W158" s="52" t="n"/>
      <c r="X158" s="52" t="n"/>
      <c r="Y158" s="52" t="n"/>
    </row>
    <row r="159">
      <c r="W159" s="52" t="n"/>
      <c r="X159" s="52" t="n"/>
      <c r="Y159" s="52" t="n"/>
    </row>
    <row r="160">
      <c r="W160" s="52" t="n"/>
      <c r="X160" s="52" t="n"/>
      <c r="Y160" s="52" t="n"/>
    </row>
    <row r="161">
      <c r="W161" s="52" t="n"/>
      <c r="X161" s="52" t="n"/>
      <c r="Y161" s="52" t="n"/>
    </row>
    <row r="162">
      <c r="F162" s="56">
        <f>SUM(F156:F161)</f>
        <v/>
      </c>
      <c r="G162" s="56">
        <f>SUM(G156:G161)</f>
        <v/>
      </c>
      <c r="H162" s="56">
        <f>SUM(H156:H161)</f>
        <v/>
      </c>
      <c r="I162" s="56">
        <f>SUM(I156:I161)</f>
        <v/>
      </c>
      <c r="W162" s="52" t="n"/>
      <c r="X162" s="52" t="n"/>
      <c r="Y162" s="52" t="n"/>
    </row>
    <row r="163">
      <c r="W163" s="52" t="n"/>
      <c r="X163" s="52" t="n"/>
      <c r="Y163" s="52" t="n"/>
    </row>
    <row r="164">
      <c r="B164" t="inlineStr">
        <is>
          <t>WEEK UNCATEGORISED</t>
        </is>
      </c>
      <c r="W164" s="52" t="n"/>
      <c r="X164" s="52" t="n"/>
      <c r="Y164" s="52" t="n"/>
    </row>
    <row r="165">
      <c r="W165" s="52" t="n"/>
      <c r="X165" s="52" t="n"/>
      <c r="Y165" s="52" t="n"/>
    </row>
    <row r="166">
      <c r="W166" s="52" t="n"/>
      <c r="X166" s="52" t="n"/>
      <c r="Y166" s="52" t="n"/>
    </row>
    <row r="167">
      <c r="W167" s="52" t="n"/>
      <c r="X167" s="52" t="n"/>
      <c r="Y167" s="52" t="n"/>
    </row>
    <row r="168">
      <c r="W168" s="52" t="n"/>
      <c r="X168" s="52" t="n"/>
      <c r="Y168" s="52" t="n"/>
    </row>
    <row r="169">
      <c r="W169" s="52" t="n"/>
      <c r="X169" s="52" t="n"/>
      <c r="Y169" s="52" t="n"/>
    </row>
    <row r="170">
      <c r="W170" s="52" t="n"/>
      <c r="X170" s="52" t="n"/>
      <c r="Y170" s="52" t="n"/>
    </row>
    <row r="171">
      <c r="F171" s="56">
        <f>SUM(F165:F170)</f>
        <v/>
      </c>
      <c r="G171" s="56">
        <f>SUM(G165:G170)</f>
        <v/>
      </c>
      <c r="H171" s="56">
        <f>SUM(H165:H170)</f>
        <v/>
      </c>
      <c r="I171" s="56">
        <f>SUM(I165:I170)</f>
        <v/>
      </c>
      <c r="W171" s="52" t="n"/>
      <c r="X171" s="52" t="n"/>
      <c r="Y171" s="52" t="n"/>
    </row>
    <row r="172">
      <c r="W172" s="52" t="n"/>
      <c r="X172" s="52" t="n"/>
      <c r="Y172" s="52" t="n"/>
    </row>
    <row r="173">
      <c r="B173" t="inlineStr">
        <is>
          <t>WEEKEND UNCATEGORISED</t>
        </is>
      </c>
      <c r="W173" s="52" t="n"/>
      <c r="X173" s="52" t="n"/>
      <c r="Y173" s="52" t="n"/>
    </row>
    <row r="174">
      <c r="W174" s="52" t="n"/>
      <c r="X174" s="52" t="n"/>
      <c r="Y174" s="52" t="n"/>
    </row>
    <row r="175">
      <c r="W175" s="52" t="n"/>
      <c r="X175" s="52" t="n"/>
      <c r="Y175" s="52" t="n"/>
    </row>
    <row r="176">
      <c r="W176" s="52" t="n"/>
      <c r="X176" s="52" t="n"/>
      <c r="Y176" s="52" t="n"/>
    </row>
    <row r="177">
      <c r="W177" s="52" t="n"/>
      <c r="X177" s="52" t="n"/>
      <c r="Y177" s="52" t="n"/>
    </row>
    <row r="178">
      <c r="W178" s="52" t="n"/>
      <c r="X178" s="52" t="n"/>
      <c r="Y178" s="52" t="n"/>
    </row>
    <row r="179">
      <c r="W179" s="52" t="n"/>
      <c r="X179" s="52" t="n"/>
      <c r="Y179" s="52" t="n"/>
    </row>
    <row r="180">
      <c r="F180" s="56">
        <f>SUM(F174:F179)</f>
        <v/>
      </c>
      <c r="G180" s="56">
        <f>SUM(G174:G179)</f>
        <v/>
      </c>
      <c r="H180" s="56">
        <f>SUM(H174:H179)</f>
        <v/>
      </c>
      <c r="I180" s="56">
        <f>SUM(I174:I179)</f>
        <v/>
      </c>
      <c r="W180" s="52" t="n"/>
      <c r="X180" s="52" t="n"/>
      <c r="Y180" s="52" t="n"/>
    </row>
    <row r="181">
      <c r="W181" s="52" t="n"/>
      <c r="X181" s="52" t="n"/>
      <c r="Y181" s="52" t="n"/>
    </row>
    <row r="182">
      <c r="B182" t="inlineStr">
        <is>
          <t>AFTERHOURS UNCATEGORISED</t>
        </is>
      </c>
      <c r="W182" s="52" t="n"/>
      <c r="X182" s="52" t="n"/>
      <c r="Y182" s="52" t="n"/>
    </row>
    <row r="183">
      <c r="W183" s="52" t="n"/>
      <c r="X183" s="52" t="n"/>
      <c r="Y183" s="52" t="n"/>
    </row>
    <row r="184">
      <c r="W184" s="52" t="n"/>
      <c r="X184" s="52" t="n"/>
      <c r="Y184" s="52" t="n"/>
    </row>
    <row r="185">
      <c r="W185" s="52" t="n"/>
      <c r="X185" s="52" t="n"/>
      <c r="Y185" s="52" t="n"/>
    </row>
    <row r="186">
      <c r="W186" s="52" t="n"/>
      <c r="X186" s="52" t="n"/>
      <c r="Y186" s="52" t="n"/>
    </row>
    <row r="187">
      <c r="W187" s="52" t="n"/>
      <c r="X187" s="52" t="n"/>
      <c r="Y187" s="52" t="n"/>
    </row>
    <row r="188">
      <c r="W188" s="52" t="n"/>
      <c r="X188" s="52" t="n"/>
      <c r="Y188" s="52" t="n"/>
    </row>
    <row r="189">
      <c r="F189" s="56">
        <f>SUM(F183:F188)</f>
        <v/>
      </c>
      <c r="G189" s="56">
        <f>SUM(G183:G188)</f>
        <v/>
      </c>
      <c r="H189" s="56">
        <f>SUM(H183:H188)</f>
        <v/>
      </c>
      <c r="I189" s="56">
        <f>SUM(I183:I188)</f>
        <v/>
      </c>
    </row>
  </sheetData>
  <conditionalFormatting sqref="K29:U43">
    <cfRule type="cellIs" priority="1" operator="equal" dxfId="0">
      <formula>0</formula>
    </cfRule>
  </conditionalFormatting>
  <conditionalFormatting sqref="K48:U53">
    <cfRule type="cellIs" priority="2" operator="equal" dxfId="0">
      <formula>0</formula>
    </cfRule>
  </conditionalFormatting>
  <conditionalFormatting sqref="K57:U62">
    <cfRule type="cellIs" priority="3" operator="equal" dxfId="0">
      <formula>0</formula>
    </cfRule>
  </conditionalFormatting>
  <conditionalFormatting sqref="K66:U78">
    <cfRule type="cellIs" priority="4" operator="equal" dxfId="0">
      <formula>0</formula>
    </cfRule>
  </conditionalFormatting>
  <conditionalFormatting sqref="K82:U88">
    <cfRule type="cellIs" priority="5" operator="equal" dxfId="0">
      <formula>0</formula>
    </cfRule>
  </conditionalFormatting>
  <conditionalFormatting sqref="K92:U97">
    <cfRule type="cellIs" priority="6" operator="equal" dxfId="0">
      <formula>0</formula>
    </cfRule>
  </conditionalFormatting>
  <conditionalFormatting sqref="K101:U106">
    <cfRule type="cellIs" priority="7" operator="equal" dxfId="0">
      <formula>0</formula>
    </cfRule>
  </conditionalFormatting>
  <conditionalFormatting sqref="K110:U116">
    <cfRule type="cellIs" priority="8" operator="equal" dxfId="0">
      <formula>0</formula>
    </cfRule>
  </conditionalFormatting>
  <conditionalFormatting sqref="K120:U125">
    <cfRule type="cellIs" priority="9" operator="equal" dxfId="0">
      <formula>0</formula>
    </cfRule>
  </conditionalFormatting>
  <conditionalFormatting sqref="K129:U134">
    <cfRule type="cellIs" priority="10" operator="equal" dxfId="0">
      <formula>0</formula>
    </cfRule>
  </conditionalFormatting>
  <conditionalFormatting sqref="K138:U143">
    <cfRule type="cellIs" priority="11" operator="equal" dxfId="0">
      <formula>0</formula>
    </cfRule>
  </conditionalFormatting>
  <conditionalFormatting sqref="K147:U152">
    <cfRule type="cellIs" priority="12" operator="equal" dxfId="0">
      <formula>0</formula>
    </cfRule>
  </conditionalFormatting>
  <conditionalFormatting sqref="K156:U161">
    <cfRule type="cellIs" priority="13" operator="equal" dxfId="0">
      <formula>0</formula>
    </cfRule>
  </conditionalFormatting>
  <conditionalFormatting sqref="K165:U170">
    <cfRule type="cellIs" priority="14" operator="equal" dxfId="0">
      <formula>0</formula>
    </cfRule>
  </conditionalFormatting>
  <conditionalFormatting sqref="K174:U179">
    <cfRule type="cellIs" priority="15" operator="equal" dxfId="0">
      <formula>0</formula>
    </cfRule>
  </conditionalFormatting>
  <conditionalFormatting sqref="K183:U188">
    <cfRule type="cellIs" priority="16" operator="equal" dxfId="0">
      <formula>0</formula>
    </cfRule>
  </conditionalFormatting>
  <conditionalFormatting sqref="I29:I53">
    <cfRule type="expression" priority="17" dxfId="1">
      <formula>$K29="N"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3da813"/>
    <outlinePr summaryBelow="1" summaryRight="1"/>
    <pageSetUpPr/>
  </sheetPr>
  <dimension ref="A1:AA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WEEKLY COMMISSION</t>
        </is>
      </c>
      <c r="F1" s="2" t="inlineStr">
        <is>
          <t>WEEK ENDING</t>
        </is>
      </c>
      <c r="G1" s="2" t="inlineStr">
        <is>
          <t>30/11/2025</t>
        </is>
      </c>
    </row>
    <row r="2">
      <c r="K2" s="3" t="inlineStr">
        <is>
          <t>PHOTOS</t>
        </is>
      </c>
      <c r="L2" s="4" t="n"/>
      <c r="M2" s="4" t="n"/>
      <c r="N2" s="3" t="inlineStr">
        <is>
          <t>QUOTE</t>
        </is>
      </c>
      <c r="O2" s="4" t="n"/>
      <c r="P2" s="4" t="n"/>
      <c r="Q2" s="3" t="inlineStr">
        <is>
          <t>INVOICE</t>
        </is>
      </c>
      <c r="R2" s="4" t="n"/>
      <c r="S2" s="5" t="n"/>
      <c r="T2" s="5" t="n"/>
    </row>
    <row r="3">
      <c r="B3" s="3" t="inlineStr">
        <is>
          <t>BOOKED JOBS</t>
        </is>
      </c>
      <c r="C3" s="6">
        <f>B4+B5</f>
        <v/>
      </c>
      <c r="E3" s="3" t="inlineStr">
        <is>
          <t>WEEKLY TARGET</t>
        </is>
      </c>
      <c r="F3" s="4" t="n"/>
      <c r="G3" s="5" t="n"/>
      <c r="K3" s="7" t="inlineStr">
        <is>
          <t>BEFORE</t>
        </is>
      </c>
      <c r="L3" s="8" t="inlineStr">
        <is>
          <t>AFTER</t>
        </is>
      </c>
      <c r="M3" s="8" t="inlineStr">
        <is>
          <t>RECEIPT</t>
        </is>
      </c>
      <c r="N3" s="7" t="inlineStr">
        <is>
          <t>DESCRIPTION</t>
        </is>
      </c>
      <c r="O3" s="8" t="inlineStr">
        <is>
          <t>SIGNED</t>
        </is>
      </c>
      <c r="P3" s="8" t="inlineStr">
        <is>
          <t>EMAILED</t>
        </is>
      </c>
      <c r="Q3" s="7" t="inlineStr">
        <is>
          <t>DESCRIPTION</t>
        </is>
      </c>
      <c r="R3" s="8" t="inlineStr">
        <is>
          <t>SIGNED</t>
        </is>
      </c>
      <c r="S3" s="8" t="inlineStr">
        <is>
          <t>EMAILED</t>
        </is>
      </c>
      <c r="T3" s="9" t="inlineStr">
        <is>
          <t>5 Star Review</t>
        </is>
      </c>
    </row>
    <row r="4">
      <c r="B4" s="1" t="inlineStr">
        <is>
          <t>SUCCESSFUL</t>
        </is>
      </c>
      <c r="C4" s="10">
        <f>O11</f>
        <v/>
      </c>
      <c r="E4" s="11" t="inlineStr">
        <is>
          <t>Tier 1</t>
        </is>
      </c>
      <c r="F4" t="inlineStr">
        <is>
          <t>&lt;$25000</t>
        </is>
      </c>
      <c r="G4" s="12">
        <f>0.05</f>
        <v/>
      </c>
      <c r="J4" s="3" t="inlineStr">
        <is>
          <t>TAKEN</t>
        </is>
      </c>
      <c r="K4" s="13">
        <f>L41</f>
        <v/>
      </c>
      <c r="L4" s="13">
        <f>M41</f>
        <v/>
      </c>
      <c r="M4" s="13">
        <f>N41</f>
        <v/>
      </c>
      <c r="N4" s="13">
        <f>O41</f>
        <v/>
      </c>
      <c r="O4" s="13">
        <f>P41</f>
        <v/>
      </c>
      <c r="P4" s="13">
        <f>Q41</f>
        <v/>
      </c>
      <c r="Q4" s="13">
        <f>R41</f>
        <v/>
      </c>
      <c r="R4" s="13">
        <f>S41</f>
        <v/>
      </c>
      <c r="S4" s="13">
        <f>T41</f>
        <v/>
      </c>
      <c r="T4" s="14">
        <f>SUM(U29:U39) + SUM(U44:U49) + SUM(U78:U83) + SUM(U87:U92) + SUM(U105:U110) + SUM(U114:U119)</f>
        <v/>
      </c>
    </row>
    <row r="5">
      <c r="B5" s="1" t="inlineStr">
        <is>
          <t>UNSUCCESSFUL</t>
        </is>
      </c>
      <c r="C5" s="10">
        <f>O12</f>
        <v/>
      </c>
      <c r="E5" s="15" t="inlineStr">
        <is>
          <t>Tier 2</t>
        </is>
      </c>
      <c r="F5" s="16" t="inlineStr">
        <is>
          <t>&gt;=$25000</t>
        </is>
      </c>
      <c r="G5" s="17">
        <f>0.1</f>
        <v/>
      </c>
      <c r="J5" s="7" t="inlineStr">
        <is>
          <t>%</t>
        </is>
      </c>
      <c r="K5" s="18">
        <f>L41/L40</f>
        <v/>
      </c>
      <c r="L5" s="18">
        <f>M41/M40</f>
        <v/>
      </c>
      <c r="M5" s="18">
        <f>N41/N40</f>
        <v/>
      </c>
      <c r="N5" s="18">
        <f>O41/O40</f>
        <v/>
      </c>
      <c r="O5" s="18">
        <f>P41/P40</f>
        <v/>
      </c>
      <c r="P5" s="18">
        <f>Q41/Q40</f>
        <v/>
      </c>
      <c r="Q5" s="18">
        <f>R41/R40</f>
        <v/>
      </c>
      <c r="R5" s="18">
        <f>S41/S40</f>
        <v/>
      </c>
      <c r="S5" s="18">
        <f>T41/T40</f>
        <v/>
      </c>
      <c r="T5" s="19" t="n"/>
    </row>
    <row r="6">
      <c r="B6" s="1" t="inlineStr">
        <is>
          <t>SUCCESSFUL (%)</t>
        </is>
      </c>
      <c r="C6" s="20">
        <f>O13</f>
        <v/>
      </c>
    </row>
    <row r="7">
      <c r="C7" s="21" t="n"/>
      <c r="F7" s="3" t="inlineStr">
        <is>
          <t>ACTUAL</t>
        </is>
      </c>
      <c r="G7" s="6" t="inlineStr">
        <is>
          <t>POTENTIAL</t>
        </is>
      </c>
      <c r="H7" s="22" t="inlineStr">
        <is>
          <t>Exc. SUPER</t>
        </is>
      </c>
    </row>
    <row r="8">
      <c r="B8" s="7" t="inlineStr">
        <is>
          <t>AVERAGE SALE</t>
        </is>
      </c>
      <c r="C8" s="23">
        <f>O14</f>
        <v/>
      </c>
      <c r="E8" s="3" t="inlineStr">
        <is>
          <t>NET PROFIT</t>
        </is>
      </c>
      <c r="F8" s="24">
        <f>P10-R10</f>
        <v/>
      </c>
      <c r="G8" s="25">
        <f>SUM(I29:I39) + SUM(I78:I83) + SUM(I105:I110) + SUM(I132:I137)</f>
        <v/>
      </c>
      <c r="K8" s="3" t="inlineStr">
        <is>
          <t>DAILY NET PROFIT</t>
        </is>
      </c>
      <c r="L8" s="4" t="n"/>
      <c r="M8" s="4" t="n"/>
      <c r="N8" s="4" t="n"/>
      <c r="O8" s="4" t="n"/>
      <c r="P8" s="4" t="n"/>
      <c r="Q8" s="4" t="n"/>
      <c r="R8" s="26" t="inlineStr">
        <is>
          <t>WEEKDAY</t>
        </is>
      </c>
      <c r="S8" s="27" t="inlineStr">
        <is>
          <t>WEEKEND</t>
        </is>
      </c>
    </row>
    <row r="9">
      <c r="E9" s="13" t="inlineStr">
        <is>
          <t>UNLOCKED</t>
        </is>
      </c>
      <c r="F9" s="28">
        <f>IF(P10&gt;=25000,G5,G4)</f>
        <v/>
      </c>
      <c r="G9" s="29">
        <f>=IF(G8&gt;=25000,G5,G4)</f>
        <v/>
      </c>
      <c r="K9" s="3" t="inlineStr">
        <is>
          <t>MON</t>
        </is>
      </c>
      <c r="L9" s="30" t="inlineStr">
        <is>
          <t>TUE</t>
        </is>
      </c>
      <c r="M9" s="30" t="inlineStr">
        <is>
          <t>WED</t>
        </is>
      </c>
      <c r="N9" s="30" t="inlineStr">
        <is>
          <t>THU</t>
        </is>
      </c>
      <c r="O9" s="30" t="inlineStr">
        <is>
          <t>FRI</t>
        </is>
      </c>
      <c r="P9" s="30" t="inlineStr">
        <is>
          <t>Total</t>
        </is>
      </c>
      <c r="Q9" s="31" t="inlineStr">
        <is>
          <t>SAT</t>
        </is>
      </c>
      <c r="R9" s="26" t="inlineStr">
        <is>
          <t>Awaiting Payment</t>
        </is>
      </c>
      <c r="S9" s="27" t="inlineStr">
        <is>
          <t>Awaiting Payment</t>
        </is>
      </c>
    </row>
    <row r="10">
      <c r="E10" s="13" t="inlineStr">
        <is>
          <t>COMMISSION - PAY OUT</t>
        </is>
      </c>
      <c r="F10" s="32">
        <f>F8*F9</f>
        <v/>
      </c>
      <c r="G10" s="33">
        <f>G8*G9</f>
        <v/>
      </c>
      <c r="H10" s="34">
        <f>F10/1.12</f>
        <v/>
      </c>
      <c r="K10" s="35">
        <f>SUMIF(C29:C39, "24/11/2025", I29:I39) + SUMIF(C44:C49, "24/11/2025", I44:I49) + SUMIF(C78:C83, "24/11/2025", I78:I83) + SUMIF(C87:C92, "24/11/2025", I87:I92) + SUMIF(C105:C110, "24/11/2025", I105:I110) + SUMIF(C114:C119, "24/11/2025", I114:I119)</f>
        <v/>
      </c>
      <c r="L10" s="36">
        <f>SUMIF(C29:C39, "25/11/2025", I29:I39) + SUMIF(C44:C49, "25/11/2025", I44:I49) + SUMIF(C78:C83, "25/11/2025", I78:I83) + SUMIF(C87:C92, "25/11/2025", I87:I92) + SUMIF(C105:C110, "25/11/2025", I105:I110) + SUMIF(C114:C119, "25/11/2025", I114:I119)</f>
        <v/>
      </c>
      <c r="M10" s="36">
        <f>SUMIF(C29:C39, "26/11/2025", I29:I39) + SUMIF(C44:C49, "26/11/2025", I44:I49) + SUMIF(C78:C83, "26/11/2025", I78:I83) + SUMIF(C87:C92, "26/11/2025", I87:I92) + SUMIF(C105:C110, "26/11/2025", I105:I110) + SUMIF(C114:C119, "26/11/2025", I114:I119)</f>
        <v/>
      </c>
      <c r="N10" s="36">
        <f>SUMIF(C29:C39, "27/11/2025", I29:I39) + SUMIF(C44:C49, "27/11/2025", I44:I49) + SUMIF(C78:C83, "27/11/2025", I78:I83) + SUMIF(C87:C92, "27/11/2025", I87:I92) + SUMIF(C105:C110, "27/11/2025", I105:I110) + SUMIF(C114:C119, "27/11/2025", I114:I119)</f>
        <v/>
      </c>
      <c r="O10" s="36">
        <f>SUMIF(C29:C39, "28/11/2025", I29:I39) + SUMIF(C44:C49, "28/11/2025", I44:I49) + SUMIF(C78:C83, "28/11/2025", I78:I83) + SUMIF(C87:C92, "28/11/2025", I87:I92) + SUMIF(C105:C110, "28/11/2025", I105:I110) + SUMIF(C114:C119, "28/11/2025", I114:I119)</f>
        <v/>
      </c>
      <c r="P10" s="36">
        <f>SUM(J10:N10)</f>
        <v/>
      </c>
      <c r="Q10" s="37">
        <f>SUMIF(C29:C39, "29/11/2025", I29:I39) + SUMIF(C44:C49, "29/11/2025", I44:I49) + SUMIF(C78:C83, "29/11/2025", I78:I83) + SUMIF(C87:C92, "29/11/2025", I87:I92) + SUMIF(C105:C110, "29/11/2025", I105:I110) + SUMIF(C114:C119, "29/11/2025", I114:I119)</f>
        <v/>
      </c>
      <c r="R10" s="38">
        <f>SUM(I78:I83) + SUM(I105:I110)</f>
        <v/>
      </c>
      <c r="S10" s="39">
        <f>SUM(I87:I92) + SUM(I114:I119)</f>
        <v/>
      </c>
    </row>
    <row r="11">
      <c r="E11" s="13" t="inlineStr">
        <is>
          <t>EMERGENCY</t>
        </is>
      </c>
      <c r="F11" s="32">
        <f>P10</f>
        <v/>
      </c>
      <c r="G11" s="21" t="n"/>
      <c r="J11" t="inlineStr">
        <is>
          <t>Successful</t>
        </is>
      </c>
      <c r="K11">
        <f>COUNTIF(C29:C39, "24/11/2025") + COUNTIF(C44:C49, "24/11/2025") + COUNTIF(C78:C83, "24/11/2025") + COUNTIF(C87:C92, "24/11/2025") + COUNTIF(C105:C110, "24/11/2025") + COUNTIF(C114:C119, "24/11/2025")</f>
        <v/>
      </c>
      <c r="L11">
        <f>COUNTIF(C29:C39, "25/11/2025") + COUNTIF(C44:C49, "25/11/2025") + COUNTIF(C78:C83, "25/11/2025") + COUNTIF(C87:C92, "25/11/2025") + COUNTIF(C105:C110, "25/11/2025") + COUNTIF(C114:C119, "25/11/2025")</f>
        <v/>
      </c>
      <c r="M11">
        <f>COUNTIF(C29:C39, "26/11/2025") + COUNTIF(C44:C49, "26/11/2025") + COUNTIF(C78:C83, "26/11/2025") + COUNTIF(C87:C92, "26/11/2025") + COUNTIF(C105:C110, "26/11/2025") + COUNTIF(C114:C119, "26/11/2025")</f>
        <v/>
      </c>
      <c r="N11">
        <f>COUNTIF(C29:C39, "27/11/2025") + COUNTIF(C44:C49, "27/11/2025") + COUNTIF(C78:C83, "27/11/2025") + COUNTIF(C87:C92, "27/11/2025") + COUNTIF(C105:C110, "27/11/2025") + COUNTIF(C114:C119, "27/11/2025")</f>
        <v/>
      </c>
      <c r="O11">
        <f>COUNTIF(C29:C39, "28/11/2025") + COUNTIF(C44:C49, "28/11/2025") + COUNTIF(C78:C83, "28/11/2025") + COUNTIF(C87:C92, "28/11/2025") + COUNTIF(C105:C110, "28/11/2025") + COUNTIF(C114:C119, "28/11/2025")</f>
        <v/>
      </c>
      <c r="P11">
        <f>SUM(K11:O11)</f>
        <v/>
      </c>
      <c r="Q11">
        <f>COUNTIF(C29:C39, "29/11/2025") + COUNTIF(C44:C49, "29/11/2025") + COUNTIF(C78:C83, "29/11/2025") + COUNTIF(C87:C92, "29/11/2025") + COUNTIF(C105:C110, "29/11/2025") + COUNTIF(C114:C119, "29/11/2025")</f>
        <v/>
      </c>
    </row>
    <row r="12">
      <c r="E12" s="13" t="inlineStr">
        <is>
          <t>EMERGENCY - PAY OUT</t>
        </is>
      </c>
      <c r="F12" s="32">
        <f>F11*0.25</f>
        <v/>
      </c>
      <c r="G12" s="21" t="n"/>
      <c r="H12" s="34">
        <f>F12/1.12</f>
        <v/>
      </c>
      <c r="J12" t="inlineStr">
        <is>
          <t>Unsuccessful</t>
        </is>
      </c>
      <c r="K12">
        <f>COUNTIF(C132:C137, "24/11/2025") + COUNTIF(C141:C146, "24/11/2025")</f>
        <v/>
      </c>
      <c r="L12">
        <f>COUNTIF(C132:C137, "25/11/2025") + COUNTIF(C141:C146, "25/11/2025")</f>
        <v/>
      </c>
      <c r="M12">
        <f>COUNTIF(C132:C137, "26/11/2025") + COUNTIF(C141:C146, "26/11/2025")</f>
        <v/>
      </c>
      <c r="N12">
        <f>COUNTIF(C132:C137, "27/11/2025") + COUNTIF(C141:C146, "27/11/2025")</f>
        <v/>
      </c>
      <c r="O12">
        <f>COUNTIF(C132:C137, "28/11/2025") + COUNTIF(C141:C146, "28/11/2025")</f>
        <v/>
      </c>
      <c r="P12">
        <f>SUM(K12:O12)</f>
        <v/>
      </c>
      <c r="Q12">
        <f>COUNTIF(C132:C137, "29/11/2025") + COUNTIF(C141:C146, "29/11/2025")</f>
        <v/>
      </c>
    </row>
    <row r="13">
      <c r="E13" s="13" t="inlineStr">
        <is>
          <t>PREV. WEEK</t>
        </is>
      </c>
      <c r="F13" s="11" t="n">
        <v>0</v>
      </c>
      <c r="G13" s="40" t="n">
        <v>0</v>
      </c>
      <c r="J13" t="inlineStr">
        <is>
          <t>Success rate</t>
        </is>
      </c>
      <c r="K13" s="41">
        <f>K11/(K11+K12)</f>
        <v/>
      </c>
      <c r="L13" s="41">
        <f>L11/(L11+L12)</f>
        <v/>
      </c>
      <c r="M13" s="41">
        <f>M11/(M11+M12)</f>
        <v/>
      </c>
      <c r="N13" s="41">
        <f>N11/(N11+N12)</f>
        <v/>
      </c>
      <c r="O13" s="41">
        <f>O11/(O11+O12)</f>
        <v/>
      </c>
      <c r="P13" s="41">
        <f>P11/(P11+P12)</f>
        <v/>
      </c>
      <c r="Q13" s="41">
        <f>Q11/(Q11+Q12)</f>
        <v/>
      </c>
    </row>
    <row r="14">
      <c r="E14" s="7" t="inlineStr">
        <is>
          <t>PREV. WEEK - PAY OUT</t>
        </is>
      </c>
      <c r="F14" s="42">
        <f>F13*0.05</f>
        <v/>
      </c>
      <c r="G14" s="43">
        <f>=G13*0.05</f>
        <v/>
      </c>
      <c r="H14" s="34">
        <f>F14/1.12</f>
        <v/>
      </c>
      <c r="J14" t="inlineStr">
        <is>
          <t>Avg sale</t>
        </is>
      </c>
      <c r="K14" s="44">
        <f>K10/K11</f>
        <v/>
      </c>
      <c r="L14" s="44">
        <f>L10/L11</f>
        <v/>
      </c>
      <c r="M14" s="44">
        <f>M10/M11</f>
        <v/>
      </c>
      <c r="N14" s="44">
        <f>N10/N11</f>
        <v/>
      </c>
      <c r="O14" s="44">
        <f>O10/O11</f>
        <v/>
      </c>
      <c r="P14" s="44">
        <f>P10/P11</f>
        <v/>
      </c>
      <c r="Q14" s="44">
        <f>Q10/Q11</f>
        <v/>
      </c>
    </row>
    <row r="15">
      <c r="E15" s="45" t="inlineStr">
        <is>
          <t>5 Star Review</t>
        </is>
      </c>
      <c r="F15" s="32">
        <f>F16*50</f>
        <v/>
      </c>
    </row>
    <row r="16">
      <c r="E16" s="45" t="inlineStr">
        <is>
          <t>5 Star Notes</t>
        </is>
      </c>
      <c r="F16" s="11">
        <f>T4</f>
        <v/>
      </c>
      <c r="K16" s="46" t="inlineStr">
        <is>
          <t>Management Summary - SALES ONLY - COLUMN F</t>
        </is>
      </c>
      <c r="L16" s="47" t="n"/>
      <c r="M16" s="47" t="n"/>
      <c r="N16" s="47" t="n"/>
      <c r="O16" s="47" t="n"/>
      <c r="P16" s="47" t="n"/>
      <c r="Q16" s="47" t="n"/>
      <c r="R16" s="48" t="inlineStr">
        <is>
          <t>WEEKDAY</t>
        </is>
      </c>
      <c r="S16" s="49" t="inlineStr">
        <is>
          <t>WEEKEND</t>
        </is>
      </c>
    </row>
    <row r="17">
      <c r="K17" s="3" t="inlineStr">
        <is>
          <t>MON</t>
        </is>
      </c>
      <c r="L17" s="30" t="inlineStr">
        <is>
          <t>TUE</t>
        </is>
      </c>
      <c r="M17" s="30" t="inlineStr">
        <is>
          <t>WED</t>
        </is>
      </c>
      <c r="N17" s="30" t="inlineStr">
        <is>
          <t>THU</t>
        </is>
      </c>
      <c r="O17" s="30" t="inlineStr">
        <is>
          <t>FRI</t>
        </is>
      </c>
      <c r="P17" s="30" t="inlineStr">
        <is>
          <t>Total</t>
        </is>
      </c>
      <c r="Q17" s="31" t="inlineStr">
        <is>
          <t>SAT</t>
        </is>
      </c>
      <c r="R17" s="26" t="inlineStr">
        <is>
          <t>Awaiting Payment</t>
        </is>
      </c>
      <c r="S17" s="27" t="inlineStr">
        <is>
          <t>Awaiting Payment</t>
        </is>
      </c>
    </row>
    <row r="18">
      <c r="K18" s="35">
        <f>SUMIF(C29:C39, "24/11/2025", F29:F39) + SUMIF(C44:C49, "24/11/2025", F44:F49) + SUMIF(C78:C83, "24/11/2025", F78:F83) + SUMIF(C87:C92, "24/11/2025", F87:F92) + SUMIF(C105:C110, "24/11/2025", F105:F110) + SUMIF(C114:C119, "24/11/2025", F114:F119)</f>
        <v/>
      </c>
      <c r="L18" s="36">
        <f>SUMIF(C29:C39, "25/11/2025", F29:F39) + SUMIF(C44:C49, "25/11/2025", F44:F49) + SUMIF(C78:C83, "25/11/2025", F78:F83) + SUMIF(C87:C92, "25/11/2025", F87:F92) + SUMIF(C105:C110, "25/11/2025", F105:F110) + SUMIF(C114:C119, "25/11/2025", F114:F119)</f>
        <v/>
      </c>
      <c r="M18" s="36">
        <f>SUMIF(C29:C39, "26/11/2025", F29:F39) + SUMIF(C44:C49, "26/11/2025", F44:F49) + SUMIF(C78:C83, "26/11/2025", F78:F83) + SUMIF(C87:C92, "26/11/2025", F87:F92) + SUMIF(C105:C110, "26/11/2025", F105:F110) + SUMIF(C114:C119, "26/11/2025", F114:F119)</f>
        <v/>
      </c>
      <c r="N18" s="36">
        <f>SUMIF(C29:C39, "27/11/2025", F29:F39) + SUMIF(C44:C49, "27/11/2025", F44:F49) + SUMIF(C78:C83, "27/11/2025", F78:F83) + SUMIF(C87:C92, "27/11/2025", F87:F92) + SUMIF(C105:C110, "27/11/2025", F105:F110) + SUMIF(C114:C119, "27/11/2025", F114:F119)</f>
        <v/>
      </c>
      <c r="O18" s="36">
        <f>SUMIF(C29:C39, "28/11/2025", F29:F39) + SUMIF(C44:C49, "28/11/2025", F44:F49) + SUMIF(C78:C83, "28/11/2025", F78:F83) + SUMIF(C87:C92, "28/11/2025", F87:F92) + SUMIF(C105:C110, "28/11/2025", F105:F110) + SUMIF(C114:C119, "28/11/2025", F114:F119)</f>
        <v/>
      </c>
      <c r="P18" s="36">
        <f>SUM(K18:O18)</f>
        <v/>
      </c>
      <c r="Q18" s="37">
        <f>SUMIF(C29:C39, "29/11/2025", F29:F39) + SUMIF(C44:C49, "29/11/2025", F44:F49) + SUMIF(C78:C83, "29/11/2025", F78:F83) + SUMIF(C87:C92, "29/11/2025", F87:F92) + SUMIF(C105:C110, "29/11/2025", F105:F110) + SUMIF(C114:C119, "29/11/2025", F114:F119)</f>
        <v/>
      </c>
      <c r="R18" s="38">
        <f>SUM(F78:F83) + SUM(F105:F110)</f>
        <v/>
      </c>
      <c r="S18" s="39">
        <f>SUM(F87:F92) + SUM(F114:F119)</f>
        <v/>
      </c>
    </row>
    <row r="19">
      <c r="J19" t="inlineStr">
        <is>
          <t>Successful</t>
        </is>
      </c>
      <c r="K19">
        <f>K11</f>
        <v/>
      </c>
      <c r="L19">
        <f>L11</f>
        <v/>
      </c>
      <c r="M19">
        <f>M11</f>
        <v/>
      </c>
      <c r="N19">
        <f>N11</f>
        <v/>
      </c>
      <c r="O19">
        <f>O11</f>
        <v/>
      </c>
      <c r="P19">
        <f>P11</f>
        <v/>
      </c>
      <c r="Q19">
        <f>Q11</f>
        <v/>
      </c>
    </row>
    <row r="20">
      <c r="J20" t="inlineStr">
        <is>
          <t>Unsuccessful</t>
        </is>
      </c>
      <c r="K20">
        <f>K12</f>
        <v/>
      </c>
      <c r="L20">
        <f>L12</f>
        <v/>
      </c>
      <c r="M20">
        <f>M12</f>
        <v/>
      </c>
      <c r="N20">
        <f>N12</f>
        <v/>
      </c>
      <c r="O20">
        <f>O12</f>
        <v/>
      </c>
      <c r="P20">
        <f>P12</f>
        <v/>
      </c>
      <c r="Q20">
        <f>Q12</f>
        <v/>
      </c>
    </row>
    <row r="21">
      <c r="J21" t="inlineStr">
        <is>
          <t>Success rate</t>
        </is>
      </c>
      <c r="K21" s="41">
        <f>K13</f>
        <v/>
      </c>
      <c r="L21" s="41">
        <f>L13</f>
        <v/>
      </c>
      <c r="M21" s="41">
        <f>M13</f>
        <v/>
      </c>
      <c r="N21" s="41">
        <f>N13</f>
        <v/>
      </c>
      <c r="O21" s="41">
        <f>O13</f>
        <v/>
      </c>
      <c r="P21" s="41">
        <f>P13</f>
        <v/>
      </c>
      <c r="Q21" s="41">
        <f>Q13</f>
        <v/>
      </c>
    </row>
    <row r="22">
      <c r="J22" t="inlineStr">
        <is>
          <t>Avg sale</t>
        </is>
      </c>
      <c r="K22" s="44">
        <f>K18/K19</f>
        <v/>
      </c>
      <c r="L22" s="44">
        <f>L18/L19</f>
        <v/>
      </c>
      <c r="M22" s="44">
        <f>M18/M19</f>
        <v/>
      </c>
      <c r="N22" s="44">
        <f>N18/N19</f>
        <v/>
      </c>
      <c r="O22" s="44">
        <f>O18/O19</f>
        <v/>
      </c>
      <c r="P22" s="44">
        <f>P18/P19</f>
        <v/>
      </c>
      <c r="Q22" s="44">
        <f>Q18/Q19</f>
        <v/>
      </c>
    </row>
    <row r="26">
      <c r="B26" s="50" t="inlineStr">
        <is>
          <t>JOB DETAILS</t>
        </is>
      </c>
      <c r="C26" s="4" t="n"/>
      <c r="D26" s="4" t="n"/>
      <c r="E26" s="4" t="n"/>
      <c r="F26" s="50" t="inlineStr">
        <is>
          <t>JOB AMOUNT</t>
        </is>
      </c>
      <c r="G26" s="4" t="n"/>
      <c r="H26" s="4" t="n"/>
      <c r="I26" s="4" t="n"/>
      <c r="J26" s="4" t="n"/>
      <c r="K26" s="50" t="n"/>
      <c r="L26" s="50" t="inlineStr">
        <is>
          <t>PHOTOS</t>
        </is>
      </c>
      <c r="M26" s="4" t="n"/>
      <c r="N26" s="4" t="n"/>
      <c r="O26" s="50" t="inlineStr">
        <is>
          <t>QUOTE</t>
        </is>
      </c>
      <c r="P26" s="4" t="n"/>
      <c r="Q26" s="4" t="n"/>
      <c r="R26" s="50" t="inlineStr">
        <is>
          <t>INVOICE</t>
        </is>
      </c>
      <c r="S26" s="4" t="n"/>
      <c r="T26" s="4" t="n"/>
      <c r="U26" s="4" t="n"/>
      <c r="V26" s="5" t="inlineStr">
        <is>
          <t>NOTES</t>
        </is>
      </c>
    </row>
    <row r="27">
      <c r="B27" s="15" t="inlineStr">
        <is>
          <t>JOB STATUS</t>
        </is>
      </c>
      <c r="C27" s="16" t="inlineStr">
        <is>
          <t>DATE</t>
        </is>
      </c>
      <c r="D27" s="16" t="inlineStr">
        <is>
          <t>JOB #</t>
        </is>
      </c>
      <c r="E27" s="51" t="inlineStr">
        <is>
          <t>SUBURB</t>
        </is>
      </c>
      <c r="F27" s="16" t="inlineStr">
        <is>
          <t>AMOUNT EXC. GST</t>
        </is>
      </c>
      <c r="G27" s="16" t="inlineStr">
        <is>
          <t>MATERIALS</t>
        </is>
      </c>
      <c r="H27" s="16" t="inlineStr">
        <is>
          <t>MERCHANT FEES</t>
        </is>
      </c>
      <c r="I27" s="16" t="inlineStr">
        <is>
          <t>NET PROFIT</t>
        </is>
      </c>
      <c r="J27" s="51" t="inlineStr">
        <is>
          <t>PAID</t>
        </is>
      </c>
      <c r="K27" s="51" t="inlineStr">
        <is>
          <t>DOC CHECK DONE</t>
        </is>
      </c>
      <c r="L27" s="16" t="inlineStr">
        <is>
          <t>BEFORE</t>
        </is>
      </c>
      <c r="M27" s="16" t="inlineStr">
        <is>
          <t>AFTER</t>
        </is>
      </c>
      <c r="N27" s="51" t="inlineStr">
        <is>
          <t>RECEIPT</t>
        </is>
      </c>
      <c r="O27" s="16" t="inlineStr">
        <is>
          <t>DESCRIPTION</t>
        </is>
      </c>
      <c r="P27" s="16" t="inlineStr">
        <is>
          <t>SIGNED</t>
        </is>
      </c>
      <c r="Q27" s="51" t="inlineStr">
        <is>
          <t>EMAILED</t>
        </is>
      </c>
      <c r="R27" s="16" t="inlineStr">
        <is>
          <t>DESCRIPTION</t>
        </is>
      </c>
      <c r="S27" s="16" t="inlineStr">
        <is>
          <t>SIGNED</t>
        </is>
      </c>
      <c r="T27" s="51" t="inlineStr">
        <is>
          <t>EMAILED</t>
        </is>
      </c>
      <c r="U27" s="16" t="inlineStr">
        <is>
          <t>5 Star Review</t>
        </is>
      </c>
      <c r="V27" s="51" t="n"/>
      <c r="W27" s="52" t="inlineStr">
        <is>
          <t>EFTPOS</t>
        </is>
      </c>
      <c r="X27" s="52" t="inlineStr">
        <is>
          <t>CASH</t>
        </is>
      </c>
      <c r="Y27" s="52" t="inlineStr">
        <is>
          <t>Payment Plan</t>
        </is>
      </c>
    </row>
    <row r="28">
      <c r="B28" t="inlineStr">
        <is>
          <t>COMPLETED &amp; PAID JOBS</t>
        </is>
      </c>
      <c r="W28" s="52" t="n"/>
      <c r="X28" s="52" t="n"/>
      <c r="Y28" s="52" t="n"/>
    </row>
    <row r="29">
      <c r="B29" t="n">
        <v>1</v>
      </c>
      <c r="C29" t="inlineStr">
        <is>
          <t>24/11/2025</t>
        </is>
      </c>
      <c r="D29" t="n">
        <v>100150</v>
      </c>
      <c r="E29" t="inlineStr">
        <is>
          <t>St Leonards</t>
        </is>
      </c>
      <c r="F29" s="44" t="n">
        <v>1173.85</v>
      </c>
      <c r="G29" s="44" t="n">
        <v>234.77</v>
      </c>
      <c r="I29" s="44">
        <f>F29-G29-H29</f>
        <v/>
      </c>
      <c r="J29" t="inlineStr">
        <is>
          <t>EFT/Bank Transfer</t>
        </is>
      </c>
      <c r="K29" s="53">
        <f>IF(OR(L29=0, M29=0, N29=0, O29=0, P29=0, Q29=0, R29=0, S29=0, T29=0), "N","Y")</f>
        <v/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s="54">
        <f>1291.24</f>
        <v/>
      </c>
      <c r="X29" s="52" t="n"/>
      <c r="Y29" s="52" t="n"/>
      <c r="Z29" s="55">
        <f>ROUND(F29*1.1,2)</f>
        <v/>
      </c>
      <c r="AA29" s="55">
        <f>ROUND(Z29 - W29 - X29 - Y29,2)</f>
        <v/>
      </c>
    </row>
    <row r="30">
      <c r="B30" t="n">
        <v>2</v>
      </c>
      <c r="C30" t="inlineStr">
        <is>
          <t>24/11/2025</t>
        </is>
      </c>
      <c r="D30" t="n">
        <v>100228</v>
      </c>
      <c r="E30" t="inlineStr">
        <is>
          <t>Delahey</t>
        </is>
      </c>
      <c r="F30" s="44" t="n">
        <v>1107.66</v>
      </c>
      <c r="G30" s="44" t="n">
        <v>221.532</v>
      </c>
      <c r="I30" s="44">
        <f>F30-G30-H30</f>
        <v/>
      </c>
      <c r="J30" t="inlineStr">
        <is>
          <t>Credit Card</t>
        </is>
      </c>
      <c r="K30" s="53">
        <f>IF(OR(L30=0, M30=0, N30=0, O30=0, P30=0, Q30=0, R30=0, S30=0, T30=0), "N","Y")</f>
        <v/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W30" s="54">
        <f>1218.43</f>
        <v/>
      </c>
      <c r="X30" s="52" t="n"/>
      <c r="Y30" s="52" t="n"/>
      <c r="Z30" s="55">
        <f>ROUND(F30*1.1,2)</f>
        <v/>
      </c>
      <c r="AA30" s="55">
        <f>ROUND(Z30 - W30 - X30 - Y30,2)</f>
        <v/>
      </c>
    </row>
    <row r="31">
      <c r="B31" t="n">
        <v>3</v>
      </c>
      <c r="C31" t="inlineStr">
        <is>
          <t>24/11/2025</t>
        </is>
      </c>
      <c r="D31" t="n">
        <v>100226</v>
      </c>
      <c r="E31" t="inlineStr">
        <is>
          <t>Albanvale</t>
        </is>
      </c>
      <c r="F31" s="44" t="n">
        <v>1128.66</v>
      </c>
      <c r="G31" s="44" t="n">
        <v>225.732</v>
      </c>
      <c r="I31" s="44">
        <f>F31-G31-H31</f>
        <v/>
      </c>
      <c r="J31" t="inlineStr">
        <is>
          <t>Credit Card</t>
        </is>
      </c>
      <c r="K31" s="53">
        <f>IF(OR(L31=0, M31=0, N31=0, O31=0, P31=0, Q31=0, R31=0, S31=0, T31=0), "N","Y")</f>
        <v/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W31" s="54">
        <f>1241.53</f>
        <v/>
      </c>
      <c r="X31" s="52" t="n"/>
      <c r="Y31" s="52" t="n"/>
      <c r="Z31" s="55">
        <f>ROUND(F31*1.1,2)</f>
        <v/>
      </c>
      <c r="AA31" s="55">
        <f>ROUND(Z31 - W31 - X31 - Y31,2)</f>
        <v/>
      </c>
    </row>
    <row r="32">
      <c r="B32" t="n">
        <v>4</v>
      </c>
      <c r="C32" t="inlineStr">
        <is>
          <t>25/11/2025</t>
        </is>
      </c>
      <c r="D32" t="n">
        <v>100237</v>
      </c>
      <c r="E32" t="inlineStr">
        <is>
          <t>Norlane</t>
        </is>
      </c>
      <c r="F32" s="44" t="n">
        <v>2177.34</v>
      </c>
      <c r="G32" s="44" t="n">
        <v>435.4680000000001</v>
      </c>
      <c r="I32" s="44">
        <f>F32-G32-H32</f>
        <v/>
      </c>
      <c r="J32" t="inlineStr">
        <is>
          <t>Credit Card</t>
        </is>
      </c>
      <c r="K32" s="53">
        <f>IF(OR(L32=0, M32=0, N32=0, O32=0, P32=0, Q32=0, R32=0, S32=0, T32=0), "N","Y")</f>
        <v/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W32" s="54">
        <f>2395.07</f>
        <v/>
      </c>
      <c r="X32" s="52" t="n"/>
      <c r="Y32" s="52" t="n"/>
      <c r="Z32" s="55">
        <f>ROUND(F32*1.1,2)</f>
        <v/>
      </c>
      <c r="AA32" s="55">
        <f>ROUND(Z32 - W32 - X32 - Y32,2)</f>
        <v/>
      </c>
    </row>
    <row r="33">
      <c r="B33" t="n">
        <v>5</v>
      </c>
      <c r="C33" t="inlineStr">
        <is>
          <t>26/11/2025</t>
        </is>
      </c>
      <c r="D33" t="n">
        <v>100168</v>
      </c>
      <c r="E33" t="inlineStr">
        <is>
          <t>Werribee</t>
        </is>
      </c>
      <c r="F33" s="44" t="n">
        <v>681</v>
      </c>
      <c r="G33" s="44" t="n">
        <v>136.2</v>
      </c>
      <c r="I33" s="44">
        <f>F33-G33-H33</f>
        <v/>
      </c>
      <c r="J33" t="inlineStr">
        <is>
          <t>Credit Card</t>
        </is>
      </c>
      <c r="K33" s="53">
        <f>IF(OR(L33=0, M33=0, N33=0, O33=0, P33=0, Q33=0, R33=0, S33=0, T33=0), "N","Y")</f>
        <v/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W33" s="54">
        <f>749.10</f>
        <v/>
      </c>
      <c r="X33" s="52" t="n"/>
      <c r="Y33" s="52" t="n"/>
      <c r="Z33" s="55">
        <f>ROUND(F33*1.1,2)</f>
        <v/>
      </c>
      <c r="AA33" s="55">
        <f>ROUND(Z33 - W33 - X33 - Y33,2)</f>
        <v/>
      </c>
    </row>
    <row r="34">
      <c r="B34" t="n">
        <v>6</v>
      </c>
      <c r="C34" t="inlineStr">
        <is>
          <t>27/11/2025</t>
        </is>
      </c>
      <c r="D34" t="n">
        <v>100338</v>
      </c>
      <c r="E34" t="inlineStr">
        <is>
          <t>Highton</t>
        </is>
      </c>
      <c r="F34" s="44" t="n">
        <v>1217.66</v>
      </c>
      <c r="G34" s="44" t="n">
        <v>243.532</v>
      </c>
      <c r="I34" s="44">
        <f>F34-G34-H34</f>
        <v/>
      </c>
      <c r="J34" t="inlineStr">
        <is>
          <t>Credit Card</t>
        </is>
      </c>
      <c r="K34" s="53">
        <f>IF(OR(L34=0, M34=0, N34=0, O34=0, P34=0, Q34=0, R34=0, S34=0, T34=0), "N","Y")</f>
        <v/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W34" s="54">
        <f>1339.43</f>
        <v/>
      </c>
      <c r="X34" s="52" t="n"/>
      <c r="Y34" s="52" t="n"/>
      <c r="Z34" s="55">
        <f>ROUND(F34*1.1,2)</f>
        <v/>
      </c>
      <c r="AA34" s="55">
        <f>ROUND(Z34 - W34 - X34 - Y34,2)</f>
        <v/>
      </c>
    </row>
    <row r="35">
      <c r="W35" s="52" t="n"/>
      <c r="X35" s="52" t="n"/>
      <c r="Y35" s="52" t="n"/>
    </row>
    <row r="36">
      <c r="W36" s="52" t="n"/>
      <c r="X36" s="52" t="n"/>
      <c r="Y36" s="52" t="n"/>
    </row>
    <row r="37">
      <c r="W37" s="52" t="n"/>
      <c r="X37" s="52" t="n"/>
      <c r="Y37" s="52" t="n"/>
    </row>
    <row r="38">
      <c r="W38" s="52" t="n"/>
      <c r="X38" s="52" t="n"/>
      <c r="Y38" s="52" t="n"/>
    </row>
    <row r="39">
      <c r="W39" s="52" t="n"/>
      <c r="X39" s="52" t="n"/>
      <c r="Y39" s="52" t="n"/>
    </row>
    <row r="40">
      <c r="F40" s="56">
        <f>SUM(F29:F39)</f>
        <v/>
      </c>
      <c r="G40" s="56">
        <f>SUM(G29:G39)</f>
        <v/>
      </c>
      <c r="H40" s="56">
        <f>SUM(H29:H39)</f>
        <v/>
      </c>
      <c r="I40" s="56">
        <f>SUM(I29:I39)</f>
        <v/>
      </c>
      <c r="L40">
        <f>COUNT(L29:L39)</f>
        <v/>
      </c>
      <c r="M40">
        <f>COUNT(M29:M39)</f>
        <v/>
      </c>
      <c r="N40">
        <f>COUNT(N29:N39)</f>
        <v/>
      </c>
      <c r="O40">
        <f>COUNT(O29:O39)</f>
        <v/>
      </c>
      <c r="P40">
        <f>COUNT(P29:P39)</f>
        <v/>
      </c>
      <c r="Q40">
        <f>COUNT(Q29:Q39)</f>
        <v/>
      </c>
      <c r="R40">
        <f>COUNT(R29:R39)</f>
        <v/>
      </c>
      <c r="S40">
        <f>COUNT(S29:S39)</f>
        <v/>
      </c>
      <c r="T40">
        <f>COUNT(T29:T39)</f>
        <v/>
      </c>
      <c r="U40">
        <f>COUNT(U29:U39)</f>
        <v/>
      </c>
      <c r="W40" s="52" t="n"/>
      <c r="X40" s="52" t="n"/>
      <c r="Y40" s="52" t="n"/>
    </row>
    <row r="41">
      <c r="L41">
        <f>SUM(L29:L39)</f>
        <v/>
      </c>
      <c r="M41">
        <f>SUM(M29:M39)</f>
        <v/>
      </c>
      <c r="N41">
        <f>SUM(N29:N39)</f>
        <v/>
      </c>
      <c r="O41">
        <f>SUM(O29:O39)</f>
        <v/>
      </c>
      <c r="P41">
        <f>SUM(P29:P39)</f>
        <v/>
      </c>
      <c r="Q41">
        <f>SUM(Q29:Q39)</f>
        <v/>
      </c>
      <c r="R41">
        <f>SUM(R29:R39)</f>
        <v/>
      </c>
      <c r="S41">
        <f>SUM(S29:S39)</f>
        <v/>
      </c>
      <c r="T41">
        <f>SUM(T29:T39)</f>
        <v/>
      </c>
      <c r="U41">
        <f>SUM(U29:U39)</f>
        <v/>
      </c>
      <c r="W41" s="52" t="n"/>
      <c r="X41" s="52" t="n"/>
      <c r="Y41" s="52" t="n"/>
    </row>
    <row r="42">
      <c r="W42" s="52" t="n"/>
      <c r="X42" s="52" t="n"/>
      <c r="Y42" s="52" t="n"/>
    </row>
    <row r="43">
      <c r="B43" t="inlineStr">
        <is>
          <t>WEEKEND COMPLETED &amp; PAID JOBS</t>
        </is>
      </c>
      <c r="W43" s="52" t="n"/>
      <c r="X43" s="52" t="n"/>
      <c r="Y43" s="52" t="n"/>
    </row>
    <row r="44">
      <c r="W44" s="52" t="n"/>
      <c r="X44" s="52" t="n"/>
      <c r="Y44" s="52" t="n"/>
    </row>
    <row r="45">
      <c r="W45" s="52" t="n"/>
      <c r="X45" s="52" t="n"/>
      <c r="Y45" s="52" t="n"/>
    </row>
    <row r="46">
      <c r="W46" s="52" t="n"/>
      <c r="X46" s="52" t="n"/>
      <c r="Y46" s="52" t="n"/>
    </row>
    <row r="47">
      <c r="W47" s="52" t="n"/>
      <c r="X47" s="52" t="n"/>
      <c r="Y47" s="52" t="n"/>
    </row>
    <row r="48">
      <c r="W48" s="52" t="n"/>
      <c r="X48" s="52" t="n"/>
      <c r="Y48" s="52" t="n"/>
    </row>
    <row r="49">
      <c r="W49" s="52" t="n"/>
      <c r="X49" s="52" t="n"/>
      <c r="Y49" s="52" t="n"/>
    </row>
    <row r="50">
      <c r="F50" s="56">
        <f>SUM(F44:F49)</f>
        <v/>
      </c>
      <c r="G50" s="56">
        <f>SUM(G44:G49)</f>
        <v/>
      </c>
      <c r="H50" s="56">
        <f>SUM(H44:H49)</f>
        <v/>
      </c>
      <c r="I50" s="56">
        <f>SUM(I44:I49)</f>
        <v/>
      </c>
      <c r="W50" s="52" t="n"/>
      <c r="X50" s="52" t="n"/>
      <c r="Y50" s="52" t="n"/>
    </row>
    <row r="51">
      <c r="W51" s="52" t="n"/>
      <c r="X51" s="52" t="n"/>
      <c r="Y51" s="52" t="n"/>
    </row>
    <row r="52">
      <c r="B52" t="inlineStr">
        <is>
          <t>AFTERHOURS COMPLETED &amp; PAID JOBS</t>
        </is>
      </c>
      <c r="W52" s="52" t="n"/>
      <c r="X52" s="52" t="n"/>
      <c r="Y52" s="52" t="n"/>
    </row>
    <row r="53">
      <c r="W53" s="52" t="n"/>
      <c r="X53" s="52" t="n"/>
      <c r="Y53" s="52" t="n"/>
    </row>
    <row r="54">
      <c r="W54" s="52" t="n"/>
      <c r="X54" s="52" t="n"/>
      <c r="Y54" s="52" t="n"/>
    </row>
    <row r="55">
      <c r="W55" s="52" t="n"/>
      <c r="X55" s="52" t="n"/>
      <c r="Y55" s="52" t="n"/>
    </row>
    <row r="56">
      <c r="W56" s="52" t="n"/>
      <c r="X56" s="52" t="n"/>
      <c r="Y56" s="52" t="n"/>
    </row>
    <row r="57">
      <c r="W57" s="52" t="n"/>
      <c r="X57" s="52" t="n"/>
      <c r="Y57" s="52" t="n"/>
    </row>
    <row r="58">
      <c r="W58" s="52" t="n"/>
      <c r="X58" s="52" t="n"/>
      <c r="Y58" s="52" t="n"/>
    </row>
    <row r="59">
      <c r="F59" s="56">
        <f>SUM(F53:F58)</f>
        <v/>
      </c>
      <c r="G59" s="56">
        <f>SUM(G53:G58)</f>
        <v/>
      </c>
      <c r="H59" s="56">
        <f>SUM(H53:H58)</f>
        <v/>
      </c>
      <c r="I59" s="56">
        <f>SUM(I53:I58)</f>
        <v/>
      </c>
      <c r="W59" s="52" t="n"/>
      <c r="X59" s="52" t="n"/>
      <c r="Y59" s="52" t="n"/>
    </row>
    <row r="60">
      <c r="W60" s="52" t="n"/>
      <c r="X60" s="52" t="n"/>
      <c r="Y60" s="52" t="n"/>
    </row>
    <row r="61">
      <c r="A61" s="57" t="n"/>
      <c r="B61" s="57" t="inlineStr">
        <is>
          <t>PREVIOUS JOBS COMPLETED &amp; PAID (COMMISSION) - Modoras Team Please do ADD to THIS SECTION or AMEND/TOUCH</t>
        </is>
      </c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8" t="n"/>
      <c r="X61" s="58" t="n"/>
      <c r="Y61" s="52" t="n"/>
    </row>
    <row r="62">
      <c r="A62" s="57" t="n"/>
      <c r="B62" s="57" t="n">
        <v>1</v>
      </c>
      <c r="C62" s="57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8" t="n"/>
      <c r="X62" s="58" t="n"/>
      <c r="Y62" s="52" t="n"/>
    </row>
    <row r="63">
      <c r="A63" s="57" t="n"/>
      <c r="B63" s="57" t="n">
        <v>2</v>
      </c>
      <c r="C63" s="57" t="n"/>
      <c r="D63" s="57" t="n"/>
      <c r="E63" s="57" t="n"/>
      <c r="F63" s="57" t="n"/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8" t="n"/>
      <c r="X63" s="58" t="n"/>
      <c r="Y63" s="52" t="n"/>
    </row>
    <row r="64">
      <c r="A64" s="57" t="n"/>
      <c r="B64" s="57" t="n">
        <v>3</v>
      </c>
      <c r="C64" s="57" t="n"/>
      <c r="D64" s="57" t="n"/>
      <c r="E64" s="57" t="n"/>
      <c r="F64" s="57" t="n"/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8" t="n"/>
      <c r="X64" s="58" t="n"/>
      <c r="Y64" s="52" t="n"/>
    </row>
    <row r="65">
      <c r="A65" s="57" t="n"/>
      <c r="B65" s="57" t="n">
        <v>4</v>
      </c>
      <c r="C65" s="57" t="n"/>
      <c r="D65" s="57" t="n"/>
      <c r="E65" s="57" t="n"/>
      <c r="F65" s="57" t="n"/>
      <c r="G65" s="57" t="n"/>
      <c r="H65" s="57" t="n"/>
      <c r="I65" s="57" t="n"/>
      <c r="J65" s="57" t="n"/>
      <c r="K65" s="57" t="n"/>
      <c r="L65" s="57" t="n"/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8" t="n"/>
      <c r="X65" s="58" t="n"/>
      <c r="Y65" s="52" t="n"/>
    </row>
    <row r="66">
      <c r="A66" s="57" t="n"/>
      <c r="B66" s="57" t="n">
        <v>5</v>
      </c>
      <c r="C66" s="57" t="n"/>
      <c r="D66" s="57" t="n"/>
      <c r="E66" s="57" t="n"/>
      <c r="F66" s="57" t="n"/>
      <c r="G66" s="57" t="n"/>
      <c r="H66" s="57" t="n"/>
      <c r="I66" s="57" t="n"/>
      <c r="J66" s="57" t="n"/>
      <c r="K66" s="57" t="n"/>
      <c r="L66" s="57" t="n"/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8" t="n"/>
      <c r="X66" s="58" t="n"/>
      <c r="Y66" s="52" t="n"/>
    </row>
    <row r="67">
      <c r="A67" s="57" t="n"/>
      <c r="B67" s="57" t="n">
        <v>6</v>
      </c>
      <c r="C67" s="57" t="n"/>
      <c r="D67" s="57" t="n"/>
      <c r="E67" s="57" t="n"/>
      <c r="F67" s="57" t="n"/>
      <c r="G67" s="57" t="n"/>
      <c r="H67" s="57" t="n"/>
      <c r="I67" s="57" t="n"/>
      <c r="J67" s="57" t="n"/>
      <c r="K67" s="57" t="n"/>
      <c r="L67" s="57" t="n"/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8" t="n"/>
      <c r="X67" s="58" t="n"/>
      <c r="Y67" s="52" t="n"/>
    </row>
    <row r="68">
      <c r="A68" s="57" t="n"/>
      <c r="B68" s="57" t="n">
        <v>7</v>
      </c>
      <c r="C68" s="57" t="n"/>
      <c r="D68" s="57" t="n"/>
      <c r="E68" s="57" t="n"/>
      <c r="F68" s="57" t="n"/>
      <c r="G68" s="57" t="n"/>
      <c r="H68" s="57" t="n"/>
      <c r="I68" s="57" t="n"/>
      <c r="J68" s="57" t="n"/>
      <c r="K68" s="57" t="n"/>
      <c r="L68" s="57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8" t="n"/>
      <c r="X68" s="58" t="n"/>
      <c r="Y68" s="52" t="n"/>
    </row>
    <row r="69">
      <c r="A69" s="57" t="n"/>
      <c r="B69" s="57" t="n">
        <v>8</v>
      </c>
      <c r="C69" s="57" t="n"/>
      <c r="D69" s="57" t="n"/>
      <c r="E69" s="57" t="n"/>
      <c r="F69" s="57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8" t="n"/>
      <c r="X69" s="58" t="n"/>
      <c r="Y69" s="52" t="n"/>
    </row>
    <row r="70">
      <c r="W70" s="52" t="n"/>
      <c r="X70" s="52" t="n"/>
      <c r="Y70" s="52" t="n"/>
    </row>
    <row r="71">
      <c r="W71" s="52" t="n"/>
      <c r="X71" s="52" t="n"/>
      <c r="Y71" s="52" t="n"/>
    </row>
    <row r="72">
      <c r="W72" s="52" t="n"/>
      <c r="X72" s="52" t="n"/>
      <c r="Y72" s="52" t="n"/>
    </row>
    <row r="73">
      <c r="W73" s="52" t="n"/>
      <c r="X73" s="52" t="n"/>
      <c r="Y73" s="52" t="n"/>
    </row>
    <row r="74">
      <c r="W74" s="52" t="n"/>
      <c r="X74" s="52" t="n"/>
      <c r="Y74" s="52" t="n"/>
    </row>
    <row r="75">
      <c r="F75" s="56">
        <f>SUM(F62:F74)</f>
        <v/>
      </c>
      <c r="G75" s="56">
        <f>SUM(G62:G74)</f>
        <v/>
      </c>
      <c r="H75" s="56">
        <f>SUM(H62:H74)</f>
        <v/>
      </c>
      <c r="I75" s="56">
        <f>SUM(I62:I74)</f>
        <v/>
      </c>
      <c r="W75" s="52" t="n"/>
      <c r="X75" s="52" t="n"/>
      <c r="Y75" s="52" t="n"/>
    </row>
    <row r="76">
      <c r="W76" s="52" t="n"/>
      <c r="X76" s="52" t="n"/>
      <c r="Y76" s="52" t="n"/>
    </row>
    <row r="77">
      <c r="B77" s="59" t="inlineStr">
        <is>
          <t>CURRENT JOBS COMPLETED (AWAITING PAYMENT)</t>
        </is>
      </c>
      <c r="W77" s="52" t="n"/>
      <c r="X77" s="52" t="n"/>
      <c r="Y77" s="52" t="n"/>
    </row>
    <row r="78">
      <c r="B78" s="59" t="n">
        <v>1</v>
      </c>
      <c r="C78" s="59" t="inlineStr">
        <is>
          <t>25/11/2025</t>
        </is>
      </c>
      <c r="D78" s="59" t="n">
        <v>100221</v>
      </c>
      <c r="E78" s="59" t="inlineStr">
        <is>
          <t>Bannockburn</t>
        </is>
      </c>
      <c r="F78" s="60" t="n">
        <v>728.67</v>
      </c>
      <c r="G78" s="60" t="n">
        <v>145.734</v>
      </c>
      <c r="I78" s="60">
        <f>F78-G78-H78</f>
        <v/>
      </c>
      <c r="J78" s="59" t="inlineStr">
        <is>
          <t>EFT/Bank Transfer</t>
        </is>
      </c>
      <c r="K78" s="61">
        <f>IF(OR(L78=0, M78=0, N78=0, O78=0, P78=0, Q78=0, R78=0, S78=0, T78=0), "N","Y")</f>
        <v/>
      </c>
      <c r="L78" s="59" t="n">
        <v>0</v>
      </c>
      <c r="M78" s="59" t="n">
        <v>0</v>
      </c>
      <c r="N78" s="59" t="n">
        <v>0</v>
      </c>
      <c r="O78" s="59" t="n">
        <v>0</v>
      </c>
      <c r="P78" s="59" t="n">
        <v>0</v>
      </c>
      <c r="Q78" s="59" t="n">
        <v>0</v>
      </c>
      <c r="R78" s="59" t="n">
        <v>0</v>
      </c>
      <c r="S78" s="59" t="n">
        <v>0</v>
      </c>
      <c r="T78" s="59" t="n">
        <v>0</v>
      </c>
      <c r="U78" s="59" t="n">
        <v>0</v>
      </c>
      <c r="W78" s="62">
        <f>801.54</f>
        <v/>
      </c>
      <c r="X78" s="52" t="n"/>
      <c r="Y78" s="52" t="n"/>
      <c r="Z78" s="55">
        <f>ROUND(F78*1.1,2)</f>
        <v/>
      </c>
      <c r="AA78" s="55">
        <f>ROUND(Z78 - W78 - X78 - Y78,2)</f>
        <v/>
      </c>
    </row>
    <row r="79">
      <c r="W79" s="52" t="n"/>
      <c r="X79" s="52" t="n"/>
      <c r="Y79" s="52" t="n"/>
    </row>
    <row r="80">
      <c r="W80" s="52" t="n"/>
      <c r="X80" s="52" t="n"/>
      <c r="Y80" s="52" t="n"/>
    </row>
    <row r="81">
      <c r="W81" s="52" t="n"/>
      <c r="X81" s="52" t="n"/>
      <c r="Y81" s="52" t="n"/>
    </row>
    <row r="82">
      <c r="W82" s="52" t="n"/>
      <c r="X82" s="52" t="n"/>
      <c r="Y82" s="52" t="n"/>
    </row>
    <row r="83">
      <c r="W83" s="52" t="n"/>
      <c r="X83" s="52" t="n"/>
      <c r="Y83" s="52" t="n"/>
    </row>
    <row r="84">
      <c r="F84" s="56">
        <f>SUM(F78:F83)</f>
        <v/>
      </c>
      <c r="G84" s="56">
        <f>SUM(G78:G83)</f>
        <v/>
      </c>
      <c r="H84" s="56">
        <f>SUM(H78:H83)</f>
        <v/>
      </c>
      <c r="I84" s="56">
        <f>SUM(I78:I83)</f>
        <v/>
      </c>
      <c r="W84" s="52" t="n"/>
      <c r="X84" s="52" t="n"/>
      <c r="Y84" s="52" t="n"/>
    </row>
    <row r="85">
      <c r="W85" s="52" t="n"/>
      <c r="X85" s="52" t="n"/>
      <c r="Y85" s="52" t="n"/>
    </row>
    <row r="86">
      <c r="B86" s="59" t="inlineStr">
        <is>
          <t>WEEKEND CURRENT JOBS COMPLETED (AWAITING PAYMENT)</t>
        </is>
      </c>
      <c r="W86" s="52" t="n"/>
      <c r="X86" s="52" t="n"/>
      <c r="Y86" s="52" t="n"/>
    </row>
    <row r="87">
      <c r="W87" s="52" t="n"/>
      <c r="X87" s="52" t="n"/>
      <c r="Y87" s="52" t="n"/>
    </row>
    <row r="88">
      <c r="W88" s="52" t="n"/>
      <c r="X88" s="52" t="n"/>
      <c r="Y88" s="52" t="n"/>
    </row>
    <row r="89">
      <c r="W89" s="52" t="n"/>
      <c r="X89" s="52" t="n"/>
      <c r="Y89" s="52" t="n"/>
    </row>
    <row r="90">
      <c r="W90" s="52" t="n"/>
      <c r="X90" s="52" t="n"/>
      <c r="Y90" s="52" t="n"/>
    </row>
    <row r="91">
      <c r="W91" s="52" t="n"/>
      <c r="X91" s="52" t="n"/>
      <c r="Y91" s="52" t="n"/>
    </row>
    <row r="92">
      <c r="W92" s="52" t="n"/>
      <c r="X92" s="52" t="n"/>
      <c r="Y92" s="52" t="n"/>
    </row>
    <row r="93">
      <c r="F93" s="56">
        <f>SUM(F87:F92)</f>
        <v/>
      </c>
      <c r="G93" s="56">
        <f>SUM(G87:G92)</f>
        <v/>
      </c>
      <c r="H93" s="56">
        <f>SUM(H87:H92)</f>
        <v/>
      </c>
      <c r="I93" s="56">
        <f>SUM(I87:I92)</f>
        <v/>
      </c>
      <c r="W93" s="52" t="n"/>
      <c r="X93" s="52" t="n"/>
      <c r="Y93" s="52" t="n"/>
    </row>
    <row r="94">
      <c r="W94" s="52" t="n"/>
      <c r="X94" s="52" t="n"/>
      <c r="Y94" s="52" t="n"/>
    </row>
    <row r="95">
      <c r="B95" t="inlineStr">
        <is>
          <t>AFTERHOURS CURRENT JOBS COMPLETED (AWAITING PAYMENT)</t>
        </is>
      </c>
      <c r="W95" s="52" t="n"/>
      <c r="X95" s="52" t="n"/>
      <c r="Y95" s="52" t="n"/>
    </row>
    <row r="96">
      <c r="W96" s="52" t="n"/>
      <c r="X96" s="52" t="n"/>
      <c r="Y96" s="52" t="n"/>
    </row>
    <row r="97">
      <c r="W97" s="52" t="n"/>
      <c r="X97" s="52" t="n"/>
      <c r="Y97" s="52" t="n"/>
    </row>
    <row r="98">
      <c r="W98" s="52" t="n"/>
      <c r="X98" s="52" t="n"/>
      <c r="Y98" s="52" t="n"/>
    </row>
    <row r="99">
      <c r="W99" s="52" t="n"/>
      <c r="X99" s="52" t="n"/>
      <c r="Y99" s="52" t="n"/>
    </row>
    <row r="100">
      <c r="W100" s="52" t="n"/>
      <c r="X100" s="52" t="n"/>
      <c r="Y100" s="52" t="n"/>
    </row>
    <row r="101">
      <c r="W101" s="52" t="n"/>
      <c r="X101" s="52" t="n"/>
      <c r="Y101" s="52" t="n"/>
    </row>
    <row r="102">
      <c r="F102" s="56">
        <f>SUM(F96:F101)</f>
        <v/>
      </c>
      <c r="G102" s="56">
        <f>SUM(G96:G101)</f>
        <v/>
      </c>
      <c r="H102" s="56">
        <f>SUM(H96:H101)</f>
        <v/>
      </c>
      <c r="I102" s="56">
        <f>SUM(I96:I101)</f>
        <v/>
      </c>
      <c r="W102" s="52" t="n"/>
      <c r="X102" s="52" t="n"/>
      <c r="Y102" s="52" t="n"/>
    </row>
    <row r="103">
      <c r="W103" s="52" t="n"/>
      <c r="X103" s="52" t="n"/>
      <c r="Y103" s="52" t="n"/>
    </row>
    <row r="104">
      <c r="B104" s="59" t="inlineStr">
        <is>
          <t>CURRENT WORK ORDERS (AWAITING PAYMENT)</t>
        </is>
      </c>
      <c r="W104" s="52" t="n"/>
      <c r="X104" s="52" t="n"/>
      <c r="Y104" s="52" t="n"/>
    </row>
    <row r="105">
      <c r="W105" s="52" t="n"/>
      <c r="X105" s="52" t="n"/>
      <c r="Y105" s="52" t="n"/>
    </row>
    <row r="106">
      <c r="W106" s="52" t="n"/>
      <c r="X106" s="52" t="n"/>
      <c r="Y106" s="52" t="n"/>
    </row>
    <row r="107">
      <c r="W107" s="52" t="n"/>
      <c r="X107" s="52" t="n"/>
      <c r="Y107" s="52" t="n"/>
    </row>
    <row r="108">
      <c r="W108" s="52" t="n"/>
      <c r="X108" s="52" t="n"/>
      <c r="Y108" s="52" t="n"/>
    </row>
    <row r="109">
      <c r="W109" s="52" t="n"/>
      <c r="X109" s="52" t="n"/>
      <c r="Y109" s="52" t="n"/>
    </row>
    <row r="110">
      <c r="W110" s="52" t="n"/>
      <c r="X110" s="52" t="n"/>
      <c r="Y110" s="52" t="n"/>
    </row>
    <row r="111">
      <c r="F111" s="56">
        <f>SUM(F105:F110)</f>
        <v/>
      </c>
      <c r="G111" s="56">
        <f>SUM(G105:G110)</f>
        <v/>
      </c>
      <c r="H111" s="56">
        <f>SUM(H105:H110)</f>
        <v/>
      </c>
      <c r="I111" s="56">
        <f>SUM(I105:I110)</f>
        <v/>
      </c>
      <c r="W111" s="52" t="n"/>
      <c r="X111" s="52" t="n"/>
      <c r="Y111" s="52" t="n"/>
    </row>
    <row r="112">
      <c r="W112" s="52" t="n"/>
      <c r="X112" s="52" t="n"/>
      <c r="Y112" s="52" t="n"/>
    </row>
    <row r="113">
      <c r="B113" s="59" t="inlineStr">
        <is>
          <t>WEEKEND WORK ORDERS (AWAITING PAYMENT)</t>
        </is>
      </c>
      <c r="W113" s="52" t="n"/>
      <c r="X113" s="52" t="n"/>
      <c r="Y113" s="52" t="n"/>
    </row>
    <row r="114">
      <c r="W114" s="52" t="n"/>
      <c r="X114" s="52" t="n"/>
      <c r="Y114" s="52" t="n"/>
    </row>
    <row r="115">
      <c r="W115" s="52" t="n"/>
      <c r="X115" s="52" t="n"/>
      <c r="Y115" s="52" t="n"/>
    </row>
    <row r="116">
      <c r="W116" s="52" t="n"/>
      <c r="X116" s="52" t="n"/>
      <c r="Y116" s="52" t="n"/>
    </row>
    <row r="117">
      <c r="W117" s="52" t="n"/>
      <c r="X117" s="52" t="n"/>
      <c r="Y117" s="52" t="n"/>
    </row>
    <row r="118">
      <c r="W118" s="52" t="n"/>
      <c r="X118" s="52" t="n"/>
      <c r="Y118" s="52" t="n"/>
    </row>
    <row r="119">
      <c r="W119" s="52" t="n"/>
      <c r="X119" s="52" t="n"/>
      <c r="Y119" s="52" t="n"/>
    </row>
    <row r="120">
      <c r="F120" s="56">
        <f>SUM(F114:F119)</f>
        <v/>
      </c>
      <c r="G120" s="56">
        <f>SUM(G114:G119)</f>
        <v/>
      </c>
      <c r="H120" s="56">
        <f>SUM(H114:H119)</f>
        <v/>
      </c>
      <c r="I120" s="56">
        <f>SUM(I114:I119)</f>
        <v/>
      </c>
      <c r="W120" s="52" t="n"/>
      <c r="X120" s="52" t="n"/>
      <c r="Y120" s="52" t="n"/>
    </row>
    <row r="121">
      <c r="W121" s="52" t="n"/>
      <c r="X121" s="52" t="n"/>
      <c r="Y121" s="52" t="n"/>
    </row>
    <row r="122">
      <c r="B122" t="inlineStr">
        <is>
          <t>AFTERHOURS WORK ORDERS (AWAITING PAYMENT)</t>
        </is>
      </c>
      <c r="W122" s="52" t="n"/>
      <c r="X122" s="52" t="n"/>
      <c r="Y122" s="52" t="n"/>
    </row>
    <row r="123">
      <c r="W123" s="52" t="n"/>
      <c r="X123" s="52" t="n"/>
      <c r="Y123" s="52" t="n"/>
    </row>
    <row r="124">
      <c r="W124" s="52" t="n"/>
      <c r="X124" s="52" t="n"/>
      <c r="Y124" s="52" t="n"/>
    </row>
    <row r="125">
      <c r="W125" s="52" t="n"/>
      <c r="X125" s="52" t="n"/>
      <c r="Y125" s="52" t="n"/>
    </row>
    <row r="126">
      <c r="W126" s="52" t="n"/>
      <c r="X126" s="52" t="n"/>
      <c r="Y126" s="52" t="n"/>
    </row>
    <row r="127">
      <c r="W127" s="52" t="n"/>
      <c r="X127" s="52" t="n"/>
      <c r="Y127" s="52" t="n"/>
    </row>
    <row r="128">
      <c r="W128" s="52" t="n"/>
      <c r="X128" s="52" t="n"/>
      <c r="Y128" s="52" t="n"/>
    </row>
    <row r="129">
      <c r="F129" s="56">
        <f>SUM(F123:F128)</f>
        <v/>
      </c>
      <c r="G129" s="56">
        <f>SUM(G123:G128)</f>
        <v/>
      </c>
      <c r="H129" s="56">
        <f>SUM(H123:H128)</f>
        <v/>
      </c>
      <c r="I129" s="56">
        <f>SUM(I123:I128)</f>
        <v/>
      </c>
      <c r="W129" s="52" t="n"/>
      <c r="X129" s="52" t="n"/>
      <c r="Y129" s="52" t="n"/>
    </row>
    <row r="130">
      <c r="W130" s="52" t="n"/>
      <c r="X130" s="52" t="n"/>
      <c r="Y130" s="52" t="n"/>
    </row>
    <row r="131">
      <c r="B131" t="inlineStr">
        <is>
          <t>UNSUCCESSFUL JOBS</t>
        </is>
      </c>
      <c r="W131" s="52" t="n"/>
      <c r="X131" s="52" t="n"/>
      <c r="Y131" s="52" t="n"/>
    </row>
    <row r="132">
      <c r="W132" s="52" t="n"/>
      <c r="X132" s="52" t="n"/>
      <c r="Y132" s="52" t="n"/>
    </row>
    <row r="133">
      <c r="W133" s="52" t="n"/>
      <c r="X133" s="52" t="n"/>
      <c r="Y133" s="52" t="n"/>
    </row>
    <row r="134">
      <c r="W134" s="52" t="n"/>
      <c r="X134" s="52" t="n"/>
      <c r="Y134" s="52" t="n"/>
    </row>
    <row r="135">
      <c r="W135" s="52" t="n"/>
      <c r="X135" s="52" t="n"/>
      <c r="Y135" s="52" t="n"/>
    </row>
    <row r="136">
      <c r="W136" s="52" t="n"/>
      <c r="X136" s="52" t="n"/>
      <c r="Y136" s="52" t="n"/>
    </row>
    <row r="137">
      <c r="W137" s="52" t="n"/>
      <c r="X137" s="52" t="n"/>
      <c r="Y137" s="52" t="n"/>
    </row>
    <row r="138">
      <c r="F138" s="56">
        <f>SUM(F132:F137)</f>
        <v/>
      </c>
      <c r="G138" s="56">
        <f>SUM(G132:G137)</f>
        <v/>
      </c>
      <c r="H138" s="56">
        <f>SUM(H132:H137)</f>
        <v/>
      </c>
      <c r="I138" s="56">
        <f>SUM(I132:I137)</f>
        <v/>
      </c>
      <c r="W138" s="52" t="n"/>
      <c r="X138" s="52" t="n"/>
      <c r="Y138" s="52" t="n"/>
    </row>
    <row r="139">
      <c r="W139" s="52" t="n"/>
      <c r="X139" s="52" t="n"/>
      <c r="Y139" s="52" t="n"/>
    </row>
    <row r="140">
      <c r="B140" t="inlineStr">
        <is>
          <t>WEEKEND UNSUCCESSFUL JOBS</t>
        </is>
      </c>
      <c r="W140" s="52" t="n"/>
      <c r="X140" s="52" t="n"/>
      <c r="Y140" s="52" t="n"/>
    </row>
    <row r="141">
      <c r="W141" s="52" t="n"/>
      <c r="X141" s="52" t="n"/>
      <c r="Y141" s="52" t="n"/>
    </row>
    <row r="142">
      <c r="W142" s="52" t="n"/>
      <c r="X142" s="52" t="n"/>
      <c r="Y142" s="52" t="n"/>
    </row>
    <row r="143">
      <c r="W143" s="52" t="n"/>
      <c r="X143" s="52" t="n"/>
      <c r="Y143" s="52" t="n"/>
    </row>
    <row r="144">
      <c r="W144" s="52" t="n"/>
      <c r="X144" s="52" t="n"/>
      <c r="Y144" s="52" t="n"/>
    </row>
    <row r="145">
      <c r="W145" s="52" t="n"/>
      <c r="X145" s="52" t="n"/>
      <c r="Y145" s="52" t="n"/>
    </row>
    <row r="146">
      <c r="W146" s="52" t="n"/>
      <c r="X146" s="52" t="n"/>
      <c r="Y146" s="52" t="n"/>
    </row>
    <row r="147">
      <c r="F147" s="56">
        <f>SUM(F141:F146)</f>
        <v/>
      </c>
      <c r="G147" s="56">
        <f>SUM(G141:G146)</f>
        <v/>
      </c>
      <c r="H147" s="56">
        <f>SUM(H141:H146)</f>
        <v/>
      </c>
      <c r="I147" s="56">
        <f>SUM(I141:I146)</f>
        <v/>
      </c>
      <c r="W147" s="52" t="n"/>
      <c r="X147" s="52" t="n"/>
      <c r="Y147" s="52" t="n"/>
    </row>
    <row r="148">
      <c r="W148" s="52" t="n"/>
      <c r="X148" s="52" t="n"/>
      <c r="Y148" s="52" t="n"/>
    </row>
    <row r="149">
      <c r="B149" t="inlineStr">
        <is>
          <t>AFTERHOURS UNSUCCESSFUL JOBS</t>
        </is>
      </c>
      <c r="W149" s="52" t="n"/>
      <c r="X149" s="52" t="n"/>
      <c r="Y149" s="52" t="n"/>
    </row>
    <row r="150">
      <c r="W150" s="52" t="n"/>
      <c r="X150" s="52" t="n"/>
      <c r="Y150" s="52" t="n"/>
    </row>
    <row r="151">
      <c r="W151" s="52" t="n"/>
      <c r="X151" s="52" t="n"/>
      <c r="Y151" s="52" t="n"/>
    </row>
    <row r="152">
      <c r="W152" s="52" t="n"/>
      <c r="X152" s="52" t="n"/>
      <c r="Y152" s="52" t="n"/>
    </row>
    <row r="153">
      <c r="W153" s="52" t="n"/>
      <c r="X153" s="52" t="n"/>
      <c r="Y153" s="52" t="n"/>
    </row>
    <row r="154">
      <c r="W154" s="52" t="n"/>
      <c r="X154" s="52" t="n"/>
      <c r="Y154" s="52" t="n"/>
    </row>
    <row r="155">
      <c r="W155" s="52" t="n"/>
      <c r="X155" s="52" t="n"/>
      <c r="Y155" s="52" t="n"/>
    </row>
    <row r="156">
      <c r="F156" s="56">
        <f>SUM(F150:F155)</f>
        <v/>
      </c>
      <c r="G156" s="56">
        <f>SUM(G150:G155)</f>
        <v/>
      </c>
      <c r="H156" s="56">
        <f>SUM(H150:H155)</f>
        <v/>
      </c>
      <c r="I156" s="56">
        <f>SUM(I150:I155)</f>
        <v/>
      </c>
      <c r="W156" s="52" t="n"/>
      <c r="X156" s="52" t="n"/>
      <c r="Y156" s="52" t="n"/>
    </row>
    <row r="157">
      <c r="W157" s="52" t="n"/>
      <c r="X157" s="52" t="n"/>
      <c r="Y157" s="52" t="n"/>
    </row>
    <row r="158">
      <c r="B158" t="inlineStr">
        <is>
          <t>WEEK UNCATEGORISED</t>
        </is>
      </c>
      <c r="W158" s="52" t="n"/>
      <c r="X158" s="52" t="n"/>
      <c r="Y158" s="52" t="n"/>
    </row>
    <row r="159">
      <c r="W159" s="52" t="n"/>
      <c r="X159" s="52" t="n"/>
      <c r="Y159" s="52" t="n"/>
    </row>
    <row r="160">
      <c r="W160" s="52" t="n"/>
      <c r="X160" s="52" t="n"/>
      <c r="Y160" s="52" t="n"/>
    </row>
    <row r="161">
      <c r="W161" s="52" t="n"/>
      <c r="X161" s="52" t="n"/>
      <c r="Y161" s="52" t="n"/>
    </row>
    <row r="162">
      <c r="W162" s="52" t="n"/>
      <c r="X162" s="52" t="n"/>
      <c r="Y162" s="52" t="n"/>
    </row>
    <row r="163">
      <c r="W163" s="52" t="n"/>
      <c r="X163" s="52" t="n"/>
      <c r="Y163" s="52" t="n"/>
    </row>
    <row r="164">
      <c r="W164" s="52" t="n"/>
      <c r="X164" s="52" t="n"/>
      <c r="Y164" s="52" t="n"/>
    </row>
    <row r="165">
      <c r="F165" s="56">
        <f>SUM(F159:F164)</f>
        <v/>
      </c>
      <c r="G165" s="56">
        <f>SUM(G159:G164)</f>
        <v/>
      </c>
      <c r="H165" s="56">
        <f>SUM(H159:H164)</f>
        <v/>
      </c>
      <c r="I165" s="56">
        <f>SUM(I159:I164)</f>
        <v/>
      </c>
      <c r="W165" s="52" t="n"/>
      <c r="X165" s="52" t="n"/>
      <c r="Y165" s="52" t="n"/>
    </row>
    <row r="166">
      <c r="W166" s="52" t="n"/>
      <c r="X166" s="52" t="n"/>
      <c r="Y166" s="52" t="n"/>
    </row>
    <row r="167">
      <c r="B167" t="inlineStr">
        <is>
          <t>WEEKEND UNCATEGORISED</t>
        </is>
      </c>
      <c r="W167" s="52" t="n"/>
      <c r="X167" s="52" t="n"/>
      <c r="Y167" s="52" t="n"/>
    </row>
    <row r="168">
      <c r="W168" s="52" t="n"/>
      <c r="X168" s="52" t="n"/>
      <c r="Y168" s="52" t="n"/>
    </row>
    <row r="169">
      <c r="W169" s="52" t="n"/>
      <c r="X169" s="52" t="n"/>
      <c r="Y169" s="52" t="n"/>
    </row>
    <row r="170">
      <c r="W170" s="52" t="n"/>
      <c r="X170" s="52" t="n"/>
      <c r="Y170" s="52" t="n"/>
    </row>
    <row r="171">
      <c r="W171" s="52" t="n"/>
      <c r="X171" s="52" t="n"/>
      <c r="Y171" s="52" t="n"/>
    </row>
    <row r="172">
      <c r="W172" s="52" t="n"/>
      <c r="X172" s="52" t="n"/>
      <c r="Y172" s="52" t="n"/>
    </row>
    <row r="173">
      <c r="W173" s="52" t="n"/>
      <c r="X173" s="52" t="n"/>
      <c r="Y173" s="52" t="n"/>
    </row>
    <row r="174">
      <c r="F174" s="56">
        <f>SUM(F168:F173)</f>
        <v/>
      </c>
      <c r="G174" s="56">
        <f>SUM(G168:G173)</f>
        <v/>
      </c>
      <c r="H174" s="56">
        <f>SUM(H168:H173)</f>
        <v/>
      </c>
      <c r="I174" s="56">
        <f>SUM(I168:I173)</f>
        <v/>
      </c>
      <c r="W174" s="52" t="n"/>
      <c r="X174" s="52" t="n"/>
      <c r="Y174" s="52" t="n"/>
    </row>
    <row r="175">
      <c r="W175" s="52" t="n"/>
      <c r="X175" s="52" t="n"/>
      <c r="Y175" s="52" t="n"/>
    </row>
    <row r="176">
      <c r="B176" t="inlineStr">
        <is>
          <t>AFTERHOURS UNCATEGORISED</t>
        </is>
      </c>
      <c r="W176" s="52" t="n"/>
      <c r="X176" s="52" t="n"/>
      <c r="Y176" s="52" t="n"/>
    </row>
    <row r="177">
      <c r="W177" s="52" t="n"/>
      <c r="X177" s="52" t="n"/>
      <c r="Y177" s="52" t="n"/>
    </row>
    <row r="178">
      <c r="W178" s="52" t="n"/>
      <c r="X178" s="52" t="n"/>
      <c r="Y178" s="52" t="n"/>
    </row>
    <row r="179">
      <c r="W179" s="52" t="n"/>
      <c r="X179" s="52" t="n"/>
      <c r="Y179" s="52" t="n"/>
    </row>
    <row r="180">
      <c r="W180" s="52" t="n"/>
      <c r="X180" s="52" t="n"/>
      <c r="Y180" s="52" t="n"/>
    </row>
    <row r="181">
      <c r="W181" s="52" t="n"/>
      <c r="X181" s="52" t="n"/>
      <c r="Y181" s="52" t="n"/>
    </row>
    <row r="182">
      <c r="W182" s="52" t="n"/>
      <c r="X182" s="52" t="n"/>
      <c r="Y182" s="52" t="n"/>
    </row>
    <row r="183">
      <c r="F183" s="56">
        <f>SUM(F177:F182)</f>
        <v/>
      </c>
      <c r="G183" s="56">
        <f>SUM(G177:G182)</f>
        <v/>
      </c>
      <c r="H183" s="56">
        <f>SUM(H177:H182)</f>
        <v/>
      </c>
      <c r="I183" s="56">
        <f>SUM(I177:I182)</f>
        <v/>
      </c>
    </row>
  </sheetData>
  <conditionalFormatting sqref="K29:U39">
    <cfRule type="cellIs" priority="1" operator="equal" dxfId="0">
      <formula>0</formula>
    </cfRule>
  </conditionalFormatting>
  <conditionalFormatting sqref="K44:U49">
    <cfRule type="cellIs" priority="2" operator="equal" dxfId="0">
      <formula>0</formula>
    </cfRule>
  </conditionalFormatting>
  <conditionalFormatting sqref="K53:U58">
    <cfRule type="cellIs" priority="3" operator="equal" dxfId="0">
      <formula>0</formula>
    </cfRule>
  </conditionalFormatting>
  <conditionalFormatting sqref="K62:U74">
    <cfRule type="cellIs" priority="4" operator="equal" dxfId="0">
      <formula>0</formula>
    </cfRule>
  </conditionalFormatting>
  <conditionalFormatting sqref="K78:U83">
    <cfRule type="cellIs" priority="5" operator="equal" dxfId="0">
      <formula>0</formula>
    </cfRule>
  </conditionalFormatting>
  <conditionalFormatting sqref="K87:U92">
    <cfRule type="cellIs" priority="6" operator="equal" dxfId="0">
      <formula>0</formula>
    </cfRule>
  </conditionalFormatting>
  <conditionalFormatting sqref="K96:U101">
    <cfRule type="cellIs" priority="7" operator="equal" dxfId="0">
      <formula>0</formula>
    </cfRule>
  </conditionalFormatting>
  <conditionalFormatting sqref="K105:U110">
    <cfRule type="cellIs" priority="8" operator="equal" dxfId="0">
      <formula>0</formula>
    </cfRule>
  </conditionalFormatting>
  <conditionalFormatting sqref="K114:U119">
    <cfRule type="cellIs" priority="9" operator="equal" dxfId="0">
      <formula>0</formula>
    </cfRule>
  </conditionalFormatting>
  <conditionalFormatting sqref="K123:U128">
    <cfRule type="cellIs" priority="10" operator="equal" dxfId="0">
      <formula>0</formula>
    </cfRule>
  </conditionalFormatting>
  <conditionalFormatting sqref="K132:U137">
    <cfRule type="cellIs" priority="11" operator="equal" dxfId="0">
      <formula>0</formula>
    </cfRule>
  </conditionalFormatting>
  <conditionalFormatting sqref="K141:U146">
    <cfRule type="cellIs" priority="12" operator="equal" dxfId="0">
      <formula>0</formula>
    </cfRule>
  </conditionalFormatting>
  <conditionalFormatting sqref="K150:U155">
    <cfRule type="cellIs" priority="13" operator="equal" dxfId="0">
      <formula>0</formula>
    </cfRule>
  </conditionalFormatting>
  <conditionalFormatting sqref="K159:U164">
    <cfRule type="cellIs" priority="14" operator="equal" dxfId="0">
      <formula>0</formula>
    </cfRule>
  </conditionalFormatting>
  <conditionalFormatting sqref="K168:U173">
    <cfRule type="cellIs" priority="15" operator="equal" dxfId="0">
      <formula>0</formula>
    </cfRule>
  </conditionalFormatting>
  <conditionalFormatting sqref="K177:U182">
    <cfRule type="cellIs" priority="16" operator="equal" dxfId="0">
      <formula>0</formula>
    </cfRule>
  </conditionalFormatting>
  <conditionalFormatting sqref="I29:I49">
    <cfRule type="expression" priority="17" dxfId="1">
      <formula>$K29="N"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3b019"/>
    <outlinePr summaryBelow="1" summaryRight="1"/>
    <pageSetUpPr/>
  </sheetPr>
  <dimension ref="A1:AA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WEEKLY COMMISSION</t>
        </is>
      </c>
      <c r="F1" s="2" t="inlineStr">
        <is>
          <t>WEEK ENDING</t>
        </is>
      </c>
      <c r="G1" s="2" t="inlineStr">
        <is>
          <t>30/11/2025</t>
        </is>
      </c>
    </row>
    <row r="2">
      <c r="K2" s="3" t="inlineStr">
        <is>
          <t>PHOTOS</t>
        </is>
      </c>
      <c r="L2" s="4" t="n"/>
      <c r="M2" s="4" t="n"/>
      <c r="N2" s="3" t="inlineStr">
        <is>
          <t>QUOTE</t>
        </is>
      </c>
      <c r="O2" s="4" t="n"/>
      <c r="P2" s="4" t="n"/>
      <c r="Q2" s="3" t="inlineStr">
        <is>
          <t>INVOICE</t>
        </is>
      </c>
      <c r="R2" s="4" t="n"/>
      <c r="S2" s="5" t="n"/>
      <c r="T2" s="5" t="n"/>
    </row>
    <row r="3">
      <c r="B3" s="3" t="inlineStr">
        <is>
          <t>BOOKED JOBS</t>
        </is>
      </c>
      <c r="C3" s="6">
        <f>B4+B5</f>
        <v/>
      </c>
      <c r="E3" s="3" t="inlineStr">
        <is>
          <t>WEEKLY TARGET</t>
        </is>
      </c>
      <c r="F3" s="4" t="n"/>
      <c r="G3" s="5" t="n"/>
      <c r="K3" s="7" t="inlineStr">
        <is>
          <t>BEFORE</t>
        </is>
      </c>
      <c r="L3" s="8" t="inlineStr">
        <is>
          <t>AFTER</t>
        </is>
      </c>
      <c r="M3" s="8" t="inlineStr">
        <is>
          <t>RECEIPT</t>
        </is>
      </c>
      <c r="N3" s="7" t="inlineStr">
        <is>
          <t>DESCRIPTION</t>
        </is>
      </c>
      <c r="O3" s="8" t="inlineStr">
        <is>
          <t>SIGNED</t>
        </is>
      </c>
      <c r="P3" s="8" t="inlineStr">
        <is>
          <t>EMAILED</t>
        </is>
      </c>
      <c r="Q3" s="7" t="inlineStr">
        <is>
          <t>DESCRIPTION</t>
        </is>
      </c>
      <c r="R3" s="8" t="inlineStr">
        <is>
          <t>SIGNED</t>
        </is>
      </c>
      <c r="S3" s="8" t="inlineStr">
        <is>
          <t>EMAILED</t>
        </is>
      </c>
      <c r="T3" s="9" t="inlineStr">
        <is>
          <t>5 Star Review</t>
        </is>
      </c>
    </row>
    <row r="4">
      <c r="B4" s="1" t="inlineStr">
        <is>
          <t>SUCCESSFUL</t>
        </is>
      </c>
      <c r="C4" s="10">
        <f>O11</f>
        <v/>
      </c>
      <c r="E4" s="11" t="inlineStr">
        <is>
          <t>Tier 1</t>
        </is>
      </c>
      <c r="F4" t="inlineStr">
        <is>
          <t>&lt;$25000</t>
        </is>
      </c>
      <c r="G4" s="12">
        <f>0.05</f>
        <v/>
      </c>
      <c r="J4" s="3" t="inlineStr">
        <is>
          <t>TAKEN</t>
        </is>
      </c>
      <c r="K4" s="13">
        <f>L36</f>
        <v/>
      </c>
      <c r="L4" s="13">
        <f>M36</f>
        <v/>
      </c>
      <c r="M4" s="13">
        <f>N36</f>
        <v/>
      </c>
      <c r="N4" s="13">
        <f>O36</f>
        <v/>
      </c>
      <c r="O4" s="13">
        <f>P36</f>
        <v/>
      </c>
      <c r="P4" s="13">
        <f>Q36</f>
        <v/>
      </c>
      <c r="Q4" s="13">
        <f>R36</f>
        <v/>
      </c>
      <c r="R4" s="13">
        <f>S36</f>
        <v/>
      </c>
      <c r="S4" s="13">
        <f>T36</f>
        <v/>
      </c>
      <c r="T4" s="14">
        <f>SUM(U29:U34) + SUM(U39:U44) + SUM(U73:U78) + SUM(U82:U87) + SUM(U100:U105) + SUM(U109:U114)</f>
        <v/>
      </c>
    </row>
    <row r="5">
      <c r="B5" s="1" t="inlineStr">
        <is>
          <t>UNSUCCESSFUL</t>
        </is>
      </c>
      <c r="C5" s="10">
        <f>O12</f>
        <v/>
      </c>
      <c r="E5" s="15" t="inlineStr">
        <is>
          <t>Tier 2</t>
        </is>
      </c>
      <c r="F5" s="16" t="inlineStr">
        <is>
          <t>&gt;=$25000</t>
        </is>
      </c>
      <c r="G5" s="17">
        <f>0.1</f>
        <v/>
      </c>
      <c r="J5" s="7" t="inlineStr">
        <is>
          <t>%</t>
        </is>
      </c>
      <c r="K5" s="18">
        <f>L36/L35</f>
        <v/>
      </c>
      <c r="L5" s="18">
        <f>M36/M35</f>
        <v/>
      </c>
      <c r="M5" s="18">
        <f>N36/N35</f>
        <v/>
      </c>
      <c r="N5" s="18">
        <f>O36/O35</f>
        <v/>
      </c>
      <c r="O5" s="18">
        <f>P36/P35</f>
        <v/>
      </c>
      <c r="P5" s="18">
        <f>Q36/Q35</f>
        <v/>
      </c>
      <c r="Q5" s="18">
        <f>R36/R35</f>
        <v/>
      </c>
      <c r="R5" s="18">
        <f>S36/S35</f>
        <v/>
      </c>
      <c r="S5" s="18">
        <f>T36/T35</f>
        <v/>
      </c>
      <c r="T5" s="19" t="n"/>
    </row>
    <row r="6">
      <c r="B6" s="1" t="inlineStr">
        <is>
          <t>SUCCESSFUL (%)</t>
        </is>
      </c>
      <c r="C6" s="20">
        <f>O13</f>
        <v/>
      </c>
    </row>
    <row r="7">
      <c r="C7" s="21" t="n"/>
      <c r="F7" s="3" t="inlineStr">
        <is>
          <t>ACTUAL</t>
        </is>
      </c>
      <c r="G7" s="6" t="inlineStr">
        <is>
          <t>POTENTIAL</t>
        </is>
      </c>
      <c r="H7" s="22" t="inlineStr">
        <is>
          <t>Exc. SUPER</t>
        </is>
      </c>
    </row>
    <row r="8">
      <c r="B8" s="7" t="inlineStr">
        <is>
          <t>AVERAGE SALE</t>
        </is>
      </c>
      <c r="C8" s="23">
        <f>O14</f>
        <v/>
      </c>
      <c r="E8" s="3" t="inlineStr">
        <is>
          <t>NET PROFIT</t>
        </is>
      </c>
      <c r="F8" s="24">
        <f>P10-R10</f>
        <v/>
      </c>
      <c r="G8" s="25">
        <f>SUM(I29:I34) + SUM(I73:I78) + SUM(I100:I105) + SUM(I127:I132)</f>
        <v/>
      </c>
      <c r="K8" s="3" t="inlineStr">
        <is>
          <t>DAILY NET PROFIT</t>
        </is>
      </c>
      <c r="L8" s="4" t="n"/>
      <c r="M8" s="4" t="n"/>
      <c r="N8" s="4" t="n"/>
      <c r="O8" s="4" t="n"/>
      <c r="P8" s="4" t="n"/>
      <c r="Q8" s="4" t="n"/>
      <c r="R8" s="26" t="inlineStr">
        <is>
          <t>WEEKDAY</t>
        </is>
      </c>
      <c r="S8" s="27" t="inlineStr">
        <is>
          <t>WEEKEND</t>
        </is>
      </c>
    </row>
    <row r="9">
      <c r="E9" s="13" t="inlineStr">
        <is>
          <t>UNLOCKED</t>
        </is>
      </c>
      <c r="F9" s="28">
        <f>IF(P10&gt;=25000,G5,G4)</f>
        <v/>
      </c>
      <c r="G9" s="29">
        <f>=IF(G8&gt;=25000,G5,G4)</f>
        <v/>
      </c>
      <c r="K9" s="3" t="inlineStr">
        <is>
          <t>MON</t>
        </is>
      </c>
      <c r="L9" s="30" t="inlineStr">
        <is>
          <t>TUE</t>
        </is>
      </c>
      <c r="M9" s="30" t="inlineStr">
        <is>
          <t>WED</t>
        </is>
      </c>
      <c r="N9" s="30" t="inlineStr">
        <is>
          <t>THU</t>
        </is>
      </c>
      <c r="O9" s="30" t="inlineStr">
        <is>
          <t>FRI</t>
        </is>
      </c>
      <c r="P9" s="30" t="inlineStr">
        <is>
          <t>Total</t>
        </is>
      </c>
      <c r="Q9" s="31" t="inlineStr">
        <is>
          <t>SAT</t>
        </is>
      </c>
      <c r="R9" s="26" t="inlineStr">
        <is>
          <t>Awaiting Payment</t>
        </is>
      </c>
      <c r="S9" s="27" t="inlineStr">
        <is>
          <t>Awaiting Payment</t>
        </is>
      </c>
    </row>
    <row r="10">
      <c r="E10" s="13" t="inlineStr">
        <is>
          <t>COMMISSION - PAY OUT</t>
        </is>
      </c>
      <c r="F10" s="32">
        <f>F8*F9</f>
        <v/>
      </c>
      <c r="G10" s="33">
        <f>G8*G9</f>
        <v/>
      </c>
      <c r="H10" s="34">
        <f>F10/1.12</f>
        <v/>
      </c>
      <c r="K10" s="35">
        <f>SUMIF(C29:C34, "24/11/2025", I29:I34) + SUMIF(C39:C44, "24/11/2025", I39:I44) + SUMIF(C73:C78, "24/11/2025", I73:I78) + SUMIF(C82:C87, "24/11/2025", I82:I87) + SUMIF(C100:C105, "24/11/2025", I100:I105) + SUMIF(C109:C114, "24/11/2025", I109:I114)</f>
        <v/>
      </c>
      <c r="L10" s="36">
        <f>SUMIF(C29:C34, "25/11/2025", I29:I34) + SUMIF(C39:C44, "25/11/2025", I39:I44) + SUMIF(C73:C78, "25/11/2025", I73:I78) + SUMIF(C82:C87, "25/11/2025", I82:I87) + SUMIF(C100:C105, "25/11/2025", I100:I105) + SUMIF(C109:C114, "25/11/2025", I109:I114)</f>
        <v/>
      </c>
      <c r="M10" s="36">
        <f>SUMIF(C29:C34, "26/11/2025", I29:I34) + SUMIF(C39:C44, "26/11/2025", I39:I44) + SUMIF(C73:C78, "26/11/2025", I73:I78) + SUMIF(C82:C87, "26/11/2025", I82:I87) + SUMIF(C100:C105, "26/11/2025", I100:I105) + SUMIF(C109:C114, "26/11/2025", I109:I114)</f>
        <v/>
      </c>
      <c r="N10" s="36">
        <f>SUMIF(C29:C34, "27/11/2025", I29:I34) + SUMIF(C39:C44, "27/11/2025", I39:I44) + SUMIF(C73:C78, "27/11/2025", I73:I78) + SUMIF(C82:C87, "27/11/2025", I82:I87) + SUMIF(C100:C105, "27/11/2025", I100:I105) + SUMIF(C109:C114, "27/11/2025", I109:I114)</f>
        <v/>
      </c>
      <c r="O10" s="36">
        <f>SUMIF(C29:C34, "28/11/2025", I29:I34) + SUMIF(C39:C44, "28/11/2025", I39:I44) + SUMIF(C73:C78, "28/11/2025", I73:I78) + SUMIF(C82:C87, "28/11/2025", I82:I87) + SUMIF(C100:C105, "28/11/2025", I100:I105) + SUMIF(C109:C114, "28/11/2025", I109:I114)</f>
        <v/>
      </c>
      <c r="P10" s="36">
        <f>SUM(J10:N10)</f>
        <v/>
      </c>
      <c r="Q10" s="37">
        <f>SUMIF(C29:C34, "29/11/2025", I29:I34) + SUMIF(C39:C44, "29/11/2025", I39:I44) + SUMIF(C73:C78, "29/11/2025", I73:I78) + SUMIF(C82:C87, "29/11/2025", I82:I87) + SUMIF(C100:C105, "29/11/2025", I100:I105) + SUMIF(C109:C114, "29/11/2025", I109:I114)</f>
        <v/>
      </c>
      <c r="R10" s="38">
        <f>SUM(I73:I78) + SUM(I100:I105)</f>
        <v/>
      </c>
      <c r="S10" s="39">
        <f>SUM(I82:I87) + SUM(I109:I114)</f>
        <v/>
      </c>
    </row>
    <row r="11">
      <c r="E11" s="13" t="inlineStr">
        <is>
          <t>EMERGENCY</t>
        </is>
      </c>
      <c r="F11" s="32">
        <f>P10</f>
        <v/>
      </c>
      <c r="G11" s="21" t="n"/>
      <c r="J11" t="inlineStr">
        <is>
          <t>Successful</t>
        </is>
      </c>
      <c r="K11">
        <f>COUNTIF(C29:C34, "24/11/2025") + COUNTIF(C39:C44, "24/11/2025") + COUNTIF(C73:C78, "24/11/2025") + COUNTIF(C82:C87, "24/11/2025") + COUNTIF(C100:C105, "24/11/2025") + COUNTIF(C109:C114, "24/11/2025")</f>
        <v/>
      </c>
      <c r="L11">
        <f>COUNTIF(C29:C34, "25/11/2025") + COUNTIF(C39:C44, "25/11/2025") + COUNTIF(C73:C78, "25/11/2025") + COUNTIF(C82:C87, "25/11/2025") + COUNTIF(C100:C105, "25/11/2025") + COUNTIF(C109:C114, "25/11/2025")</f>
        <v/>
      </c>
      <c r="M11">
        <f>COUNTIF(C29:C34, "26/11/2025") + COUNTIF(C39:C44, "26/11/2025") + COUNTIF(C73:C78, "26/11/2025") + COUNTIF(C82:C87, "26/11/2025") + COUNTIF(C100:C105, "26/11/2025") + COUNTIF(C109:C114, "26/11/2025")</f>
        <v/>
      </c>
      <c r="N11">
        <f>COUNTIF(C29:C34, "27/11/2025") + COUNTIF(C39:C44, "27/11/2025") + COUNTIF(C73:C78, "27/11/2025") + COUNTIF(C82:C87, "27/11/2025") + COUNTIF(C100:C105, "27/11/2025") + COUNTIF(C109:C114, "27/11/2025")</f>
        <v/>
      </c>
      <c r="O11">
        <f>COUNTIF(C29:C34, "28/11/2025") + COUNTIF(C39:C44, "28/11/2025") + COUNTIF(C73:C78, "28/11/2025") + COUNTIF(C82:C87, "28/11/2025") + COUNTIF(C100:C105, "28/11/2025") + COUNTIF(C109:C114, "28/11/2025")</f>
        <v/>
      </c>
      <c r="P11">
        <f>SUM(K11:O11)</f>
        <v/>
      </c>
      <c r="Q11">
        <f>COUNTIF(C29:C34, "29/11/2025") + COUNTIF(C39:C44, "29/11/2025") + COUNTIF(C73:C78, "29/11/2025") + COUNTIF(C82:C87, "29/11/2025") + COUNTIF(C100:C105, "29/11/2025") + COUNTIF(C109:C114, "29/11/2025")</f>
        <v/>
      </c>
    </row>
    <row r="12">
      <c r="E12" s="13" t="inlineStr">
        <is>
          <t>EMERGENCY - PAY OUT</t>
        </is>
      </c>
      <c r="F12" s="32">
        <f>F11*0.25</f>
        <v/>
      </c>
      <c r="G12" s="21" t="n"/>
      <c r="H12" s="34">
        <f>F12/1.12</f>
        <v/>
      </c>
      <c r="J12" t="inlineStr">
        <is>
          <t>Unsuccessful</t>
        </is>
      </c>
      <c r="K12">
        <f>COUNTIF(C127:C132, "24/11/2025") + COUNTIF(C136:C141, "24/11/2025")</f>
        <v/>
      </c>
      <c r="L12">
        <f>COUNTIF(C127:C132, "25/11/2025") + COUNTIF(C136:C141, "25/11/2025")</f>
        <v/>
      </c>
      <c r="M12">
        <f>COUNTIF(C127:C132, "26/11/2025") + COUNTIF(C136:C141, "26/11/2025")</f>
        <v/>
      </c>
      <c r="N12">
        <f>COUNTIF(C127:C132, "27/11/2025") + COUNTIF(C136:C141, "27/11/2025")</f>
        <v/>
      </c>
      <c r="O12">
        <f>COUNTIF(C127:C132, "28/11/2025") + COUNTIF(C136:C141, "28/11/2025")</f>
        <v/>
      </c>
      <c r="P12">
        <f>SUM(K12:O12)</f>
        <v/>
      </c>
      <c r="Q12">
        <f>COUNTIF(C127:C132, "29/11/2025") + COUNTIF(C136:C141, "29/11/2025")</f>
        <v/>
      </c>
    </row>
    <row r="13">
      <c r="E13" s="13" t="inlineStr">
        <is>
          <t>PREV. WEEK</t>
        </is>
      </c>
      <c r="F13" s="11" t="n">
        <v>0</v>
      </c>
      <c r="G13" s="40" t="n">
        <v>0</v>
      </c>
      <c r="J13" t="inlineStr">
        <is>
          <t>Success rate</t>
        </is>
      </c>
      <c r="K13" s="41">
        <f>K11/(K11+K12)</f>
        <v/>
      </c>
      <c r="L13" s="41">
        <f>L11/(L11+L12)</f>
        <v/>
      </c>
      <c r="M13" s="41">
        <f>M11/(M11+M12)</f>
        <v/>
      </c>
      <c r="N13" s="41">
        <f>N11/(N11+N12)</f>
        <v/>
      </c>
      <c r="O13" s="41">
        <f>O11/(O11+O12)</f>
        <v/>
      </c>
      <c r="P13" s="41">
        <f>P11/(P11+P12)</f>
        <v/>
      </c>
      <c r="Q13" s="41">
        <f>Q11/(Q11+Q12)</f>
        <v/>
      </c>
    </row>
    <row r="14">
      <c r="E14" s="7" t="inlineStr">
        <is>
          <t>PREV. WEEK - PAY OUT</t>
        </is>
      </c>
      <c r="F14" s="42">
        <f>F13*0.05</f>
        <v/>
      </c>
      <c r="G14" s="43">
        <f>=G13*0.05</f>
        <v/>
      </c>
      <c r="H14" s="34">
        <f>F14/1.12</f>
        <v/>
      </c>
      <c r="J14" t="inlineStr">
        <is>
          <t>Avg sale</t>
        </is>
      </c>
      <c r="K14" s="44">
        <f>K10/K11</f>
        <v/>
      </c>
      <c r="L14" s="44">
        <f>L10/L11</f>
        <v/>
      </c>
      <c r="M14" s="44">
        <f>M10/M11</f>
        <v/>
      </c>
      <c r="N14" s="44">
        <f>N10/N11</f>
        <v/>
      </c>
      <c r="O14" s="44">
        <f>O10/O11</f>
        <v/>
      </c>
      <c r="P14" s="44">
        <f>P10/P11</f>
        <v/>
      </c>
      <c r="Q14" s="44">
        <f>Q10/Q11</f>
        <v/>
      </c>
    </row>
    <row r="15">
      <c r="E15" s="45" t="inlineStr">
        <is>
          <t>5 Star Review</t>
        </is>
      </c>
      <c r="F15" s="32">
        <f>F16*50</f>
        <v/>
      </c>
    </row>
    <row r="16">
      <c r="E16" s="45" t="inlineStr">
        <is>
          <t>5 Star Notes</t>
        </is>
      </c>
      <c r="F16" s="11">
        <f>T4</f>
        <v/>
      </c>
      <c r="K16" s="46" t="inlineStr">
        <is>
          <t>Management Summary - SALES ONLY - COLUMN F</t>
        </is>
      </c>
      <c r="L16" s="47" t="n"/>
      <c r="M16" s="47" t="n"/>
      <c r="N16" s="47" t="n"/>
      <c r="O16" s="47" t="n"/>
      <c r="P16" s="47" t="n"/>
      <c r="Q16" s="47" t="n"/>
      <c r="R16" s="48" t="inlineStr">
        <is>
          <t>WEEKDAY</t>
        </is>
      </c>
      <c r="S16" s="49" t="inlineStr">
        <is>
          <t>WEEKEND</t>
        </is>
      </c>
    </row>
    <row r="17">
      <c r="K17" s="3" t="inlineStr">
        <is>
          <t>MON</t>
        </is>
      </c>
      <c r="L17" s="30" t="inlineStr">
        <is>
          <t>TUE</t>
        </is>
      </c>
      <c r="M17" s="30" t="inlineStr">
        <is>
          <t>WED</t>
        </is>
      </c>
      <c r="N17" s="30" t="inlineStr">
        <is>
          <t>THU</t>
        </is>
      </c>
      <c r="O17" s="30" t="inlineStr">
        <is>
          <t>FRI</t>
        </is>
      </c>
      <c r="P17" s="30" t="inlineStr">
        <is>
          <t>Total</t>
        </is>
      </c>
      <c r="Q17" s="31" t="inlineStr">
        <is>
          <t>SAT</t>
        </is>
      </c>
      <c r="R17" s="26" t="inlineStr">
        <is>
          <t>Awaiting Payment</t>
        </is>
      </c>
      <c r="S17" s="27" t="inlineStr">
        <is>
          <t>Awaiting Payment</t>
        </is>
      </c>
    </row>
    <row r="18">
      <c r="K18" s="35">
        <f>SUMIF(C29:C34, "24/11/2025", F29:F34) + SUMIF(C39:C44, "24/11/2025", F39:F44) + SUMIF(C73:C78, "24/11/2025", F73:F78) + SUMIF(C82:C87, "24/11/2025", F82:F87) + SUMIF(C100:C105, "24/11/2025", F100:F105) + SUMIF(C109:C114, "24/11/2025", F109:F114)</f>
        <v/>
      </c>
      <c r="L18" s="36">
        <f>SUMIF(C29:C34, "25/11/2025", F29:F34) + SUMIF(C39:C44, "25/11/2025", F39:F44) + SUMIF(C73:C78, "25/11/2025", F73:F78) + SUMIF(C82:C87, "25/11/2025", F82:F87) + SUMIF(C100:C105, "25/11/2025", F100:F105) + SUMIF(C109:C114, "25/11/2025", F109:F114)</f>
        <v/>
      </c>
      <c r="M18" s="36">
        <f>SUMIF(C29:C34, "26/11/2025", F29:F34) + SUMIF(C39:C44, "26/11/2025", F39:F44) + SUMIF(C73:C78, "26/11/2025", F73:F78) + SUMIF(C82:C87, "26/11/2025", F82:F87) + SUMIF(C100:C105, "26/11/2025", F100:F105) + SUMIF(C109:C114, "26/11/2025", F109:F114)</f>
        <v/>
      </c>
      <c r="N18" s="36">
        <f>SUMIF(C29:C34, "27/11/2025", F29:F34) + SUMIF(C39:C44, "27/11/2025", F39:F44) + SUMIF(C73:C78, "27/11/2025", F73:F78) + SUMIF(C82:C87, "27/11/2025", F82:F87) + SUMIF(C100:C105, "27/11/2025", F100:F105) + SUMIF(C109:C114, "27/11/2025", F109:F114)</f>
        <v/>
      </c>
      <c r="O18" s="36">
        <f>SUMIF(C29:C34, "28/11/2025", F29:F34) + SUMIF(C39:C44, "28/11/2025", F39:F44) + SUMIF(C73:C78, "28/11/2025", F73:F78) + SUMIF(C82:C87, "28/11/2025", F82:F87) + SUMIF(C100:C105, "28/11/2025", F100:F105) + SUMIF(C109:C114, "28/11/2025", F109:F114)</f>
        <v/>
      </c>
      <c r="P18" s="36">
        <f>SUM(K18:O18)</f>
        <v/>
      </c>
      <c r="Q18" s="37">
        <f>SUMIF(C29:C34, "29/11/2025", F29:F34) + SUMIF(C39:C44, "29/11/2025", F39:F44) + SUMIF(C73:C78, "29/11/2025", F73:F78) + SUMIF(C82:C87, "29/11/2025", F82:F87) + SUMIF(C100:C105, "29/11/2025", F100:F105) + SUMIF(C109:C114, "29/11/2025", F109:F114)</f>
        <v/>
      </c>
      <c r="R18" s="38">
        <f>SUM(F73:F78) + SUM(F100:F105)</f>
        <v/>
      </c>
      <c r="S18" s="39">
        <f>SUM(F82:F87) + SUM(F109:F114)</f>
        <v/>
      </c>
    </row>
    <row r="19">
      <c r="J19" t="inlineStr">
        <is>
          <t>Successful</t>
        </is>
      </c>
      <c r="K19">
        <f>K11</f>
        <v/>
      </c>
      <c r="L19">
        <f>L11</f>
        <v/>
      </c>
      <c r="M19">
        <f>M11</f>
        <v/>
      </c>
      <c r="N19">
        <f>N11</f>
        <v/>
      </c>
      <c r="O19">
        <f>O11</f>
        <v/>
      </c>
      <c r="P19">
        <f>P11</f>
        <v/>
      </c>
      <c r="Q19">
        <f>Q11</f>
        <v/>
      </c>
    </row>
    <row r="20">
      <c r="J20" t="inlineStr">
        <is>
          <t>Unsuccessful</t>
        </is>
      </c>
      <c r="K20">
        <f>K12</f>
        <v/>
      </c>
      <c r="L20">
        <f>L12</f>
        <v/>
      </c>
      <c r="M20">
        <f>M12</f>
        <v/>
      </c>
      <c r="N20">
        <f>N12</f>
        <v/>
      </c>
      <c r="O20">
        <f>O12</f>
        <v/>
      </c>
      <c r="P20">
        <f>P12</f>
        <v/>
      </c>
      <c r="Q20">
        <f>Q12</f>
        <v/>
      </c>
    </row>
    <row r="21">
      <c r="J21" t="inlineStr">
        <is>
          <t>Success rate</t>
        </is>
      </c>
      <c r="K21" s="41">
        <f>K13</f>
        <v/>
      </c>
      <c r="L21" s="41">
        <f>L13</f>
        <v/>
      </c>
      <c r="M21" s="41">
        <f>M13</f>
        <v/>
      </c>
      <c r="N21" s="41">
        <f>N13</f>
        <v/>
      </c>
      <c r="O21" s="41">
        <f>O13</f>
        <v/>
      </c>
      <c r="P21" s="41">
        <f>P13</f>
        <v/>
      </c>
      <c r="Q21" s="41">
        <f>Q13</f>
        <v/>
      </c>
    </row>
    <row r="22">
      <c r="J22" t="inlineStr">
        <is>
          <t>Avg sale</t>
        </is>
      </c>
      <c r="K22" s="44">
        <f>K18/K19</f>
        <v/>
      </c>
      <c r="L22" s="44">
        <f>L18/L19</f>
        <v/>
      </c>
      <c r="M22" s="44">
        <f>M18/M19</f>
        <v/>
      </c>
      <c r="N22" s="44">
        <f>N18/N19</f>
        <v/>
      </c>
      <c r="O22" s="44">
        <f>O18/O19</f>
        <v/>
      </c>
      <c r="P22" s="44">
        <f>P18/P19</f>
        <v/>
      </c>
      <c r="Q22" s="44">
        <f>Q18/Q19</f>
        <v/>
      </c>
    </row>
    <row r="26">
      <c r="B26" s="50" t="inlineStr">
        <is>
          <t>JOB DETAILS</t>
        </is>
      </c>
      <c r="C26" s="4" t="n"/>
      <c r="D26" s="4" t="n"/>
      <c r="E26" s="4" t="n"/>
      <c r="F26" s="50" t="inlineStr">
        <is>
          <t>JOB AMOUNT</t>
        </is>
      </c>
      <c r="G26" s="4" t="n"/>
      <c r="H26" s="4" t="n"/>
      <c r="I26" s="4" t="n"/>
      <c r="J26" s="4" t="n"/>
      <c r="K26" s="50" t="n"/>
      <c r="L26" s="50" t="inlineStr">
        <is>
          <t>PHOTOS</t>
        </is>
      </c>
      <c r="M26" s="4" t="n"/>
      <c r="N26" s="4" t="n"/>
      <c r="O26" s="50" t="inlineStr">
        <is>
          <t>QUOTE</t>
        </is>
      </c>
      <c r="P26" s="4" t="n"/>
      <c r="Q26" s="4" t="n"/>
      <c r="R26" s="50" t="inlineStr">
        <is>
          <t>INVOICE</t>
        </is>
      </c>
      <c r="S26" s="4" t="n"/>
      <c r="T26" s="4" t="n"/>
      <c r="U26" s="4" t="n"/>
      <c r="V26" s="5" t="inlineStr">
        <is>
          <t>NOTES</t>
        </is>
      </c>
    </row>
    <row r="27">
      <c r="B27" s="15" t="inlineStr">
        <is>
          <t>JOB STATUS</t>
        </is>
      </c>
      <c r="C27" s="16" t="inlineStr">
        <is>
          <t>DATE</t>
        </is>
      </c>
      <c r="D27" s="16" t="inlineStr">
        <is>
          <t>JOB #</t>
        </is>
      </c>
      <c r="E27" s="51" t="inlineStr">
        <is>
          <t>SUBURB</t>
        </is>
      </c>
      <c r="F27" s="16" t="inlineStr">
        <is>
          <t>AMOUNT EXC. GST</t>
        </is>
      </c>
      <c r="G27" s="16" t="inlineStr">
        <is>
          <t>MATERIALS</t>
        </is>
      </c>
      <c r="H27" s="16" t="inlineStr">
        <is>
          <t>MERCHANT FEES</t>
        </is>
      </c>
      <c r="I27" s="16" t="inlineStr">
        <is>
          <t>NET PROFIT</t>
        </is>
      </c>
      <c r="J27" s="51" t="inlineStr">
        <is>
          <t>PAID</t>
        </is>
      </c>
      <c r="K27" s="51" t="inlineStr">
        <is>
          <t>DOC CHECK DONE</t>
        </is>
      </c>
      <c r="L27" s="16" t="inlineStr">
        <is>
          <t>BEFORE</t>
        </is>
      </c>
      <c r="M27" s="16" t="inlineStr">
        <is>
          <t>AFTER</t>
        </is>
      </c>
      <c r="N27" s="51" t="inlineStr">
        <is>
          <t>RECEIPT</t>
        </is>
      </c>
      <c r="O27" s="16" t="inlineStr">
        <is>
          <t>DESCRIPTION</t>
        </is>
      </c>
      <c r="P27" s="16" t="inlineStr">
        <is>
          <t>SIGNED</t>
        </is>
      </c>
      <c r="Q27" s="51" t="inlineStr">
        <is>
          <t>EMAILED</t>
        </is>
      </c>
      <c r="R27" s="16" t="inlineStr">
        <is>
          <t>DESCRIPTION</t>
        </is>
      </c>
      <c r="S27" s="16" t="inlineStr">
        <is>
          <t>SIGNED</t>
        </is>
      </c>
      <c r="T27" s="51" t="inlineStr">
        <is>
          <t>EMAILED</t>
        </is>
      </c>
      <c r="U27" s="16" t="inlineStr">
        <is>
          <t>5 Star Review</t>
        </is>
      </c>
      <c r="V27" s="51" t="n"/>
      <c r="W27" s="52" t="inlineStr">
        <is>
          <t>EFTPOS</t>
        </is>
      </c>
      <c r="X27" s="52" t="inlineStr">
        <is>
          <t>CASH</t>
        </is>
      </c>
      <c r="Y27" s="52" t="inlineStr">
        <is>
          <t>Payment Plan</t>
        </is>
      </c>
    </row>
    <row r="28">
      <c r="B28" t="inlineStr">
        <is>
          <t>COMPLETED &amp; PAID JOBS</t>
        </is>
      </c>
      <c r="W28" s="52" t="n"/>
      <c r="X28" s="52" t="n"/>
      <c r="Y28" s="52" t="n"/>
    </row>
    <row r="29">
      <c r="B29" t="n">
        <v>1</v>
      </c>
      <c r="C29" t="inlineStr">
        <is>
          <t>24/11/2025</t>
        </is>
      </c>
      <c r="D29" t="n">
        <v>100196</v>
      </c>
      <c r="E29" t="inlineStr">
        <is>
          <t>Noble Park</t>
        </is>
      </c>
      <c r="F29" s="44" t="n">
        <v>0</v>
      </c>
      <c r="G29" s="44" t="n">
        <v>0</v>
      </c>
      <c r="I29" s="44">
        <f>F29-G29-H29</f>
        <v/>
      </c>
      <c r="J29" t="n">
        <v/>
      </c>
      <c r="K29" s="53">
        <f>IF(OR(L29=0, M29=0, N29=0, O29=0, P29=0, Q29=0, R29=0, S29=0, T29=0), "N","Y")</f>
        <v/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s="52" t="n"/>
      <c r="X29" s="52" t="n"/>
      <c r="Y29" s="52" t="n"/>
      <c r="Z29" s="55">
        <f>ROUND(F29*1.1,2)</f>
        <v/>
      </c>
      <c r="AA29" s="55">
        <f>ROUND(Z29 - W29 - X29 - Y29,2)</f>
        <v/>
      </c>
    </row>
    <row r="30">
      <c r="W30" s="52" t="n"/>
      <c r="X30" s="52" t="n"/>
      <c r="Y30" s="52" t="n"/>
    </row>
    <row r="31">
      <c r="W31" s="52" t="n"/>
      <c r="X31" s="52" t="n"/>
      <c r="Y31" s="52" t="n"/>
    </row>
    <row r="32">
      <c r="W32" s="52" t="n"/>
      <c r="X32" s="52" t="n"/>
      <c r="Y32" s="52" t="n"/>
    </row>
    <row r="33">
      <c r="W33" s="52" t="n"/>
      <c r="X33" s="52" t="n"/>
      <c r="Y33" s="52" t="n"/>
    </row>
    <row r="34">
      <c r="W34" s="52" t="n"/>
      <c r="X34" s="52" t="n"/>
      <c r="Y34" s="52" t="n"/>
    </row>
    <row r="35">
      <c r="F35" s="56">
        <f>SUM(F29:F34)</f>
        <v/>
      </c>
      <c r="G35" s="56">
        <f>SUM(G29:G34)</f>
        <v/>
      </c>
      <c r="H35" s="56">
        <f>SUM(H29:H34)</f>
        <v/>
      </c>
      <c r="I35" s="56">
        <f>SUM(I29:I34)</f>
        <v/>
      </c>
      <c r="L35">
        <f>COUNT(L29:L34)</f>
        <v/>
      </c>
      <c r="M35">
        <f>COUNT(M29:M34)</f>
        <v/>
      </c>
      <c r="N35">
        <f>COUNT(N29:N34)</f>
        <v/>
      </c>
      <c r="O35">
        <f>COUNT(O29:O34)</f>
        <v/>
      </c>
      <c r="P35">
        <f>COUNT(P29:P34)</f>
        <v/>
      </c>
      <c r="Q35">
        <f>COUNT(Q29:Q34)</f>
        <v/>
      </c>
      <c r="R35">
        <f>COUNT(R29:R34)</f>
        <v/>
      </c>
      <c r="S35">
        <f>COUNT(S29:S34)</f>
        <v/>
      </c>
      <c r="T35">
        <f>COUNT(T29:T34)</f>
        <v/>
      </c>
      <c r="U35">
        <f>COUNT(U29:U34)</f>
        <v/>
      </c>
      <c r="W35" s="52" t="n"/>
      <c r="X35" s="52" t="n"/>
      <c r="Y35" s="52" t="n"/>
    </row>
    <row r="36">
      <c r="L36">
        <f>SUM(L29:L34)</f>
        <v/>
      </c>
      <c r="M36">
        <f>SUM(M29:M34)</f>
        <v/>
      </c>
      <c r="N36">
        <f>SUM(N29:N34)</f>
        <v/>
      </c>
      <c r="O36">
        <f>SUM(O29:O34)</f>
        <v/>
      </c>
      <c r="P36">
        <f>SUM(P29:P34)</f>
        <v/>
      </c>
      <c r="Q36">
        <f>SUM(Q29:Q34)</f>
        <v/>
      </c>
      <c r="R36">
        <f>SUM(R29:R34)</f>
        <v/>
      </c>
      <c r="S36">
        <f>SUM(S29:S34)</f>
        <v/>
      </c>
      <c r="T36">
        <f>SUM(T29:T34)</f>
        <v/>
      </c>
      <c r="U36">
        <f>SUM(U29:U34)</f>
        <v/>
      </c>
      <c r="W36" s="52" t="n"/>
      <c r="X36" s="52" t="n"/>
      <c r="Y36" s="52" t="n"/>
    </row>
    <row r="37">
      <c r="W37" s="52" t="n"/>
      <c r="X37" s="52" t="n"/>
      <c r="Y37" s="52" t="n"/>
    </row>
    <row r="38">
      <c r="B38" t="inlineStr">
        <is>
          <t>WEEKEND COMPLETED &amp; PAID JOBS</t>
        </is>
      </c>
      <c r="W38" s="52" t="n"/>
      <c r="X38" s="52" t="n"/>
      <c r="Y38" s="52" t="n"/>
    </row>
    <row r="39">
      <c r="W39" s="52" t="n"/>
      <c r="X39" s="52" t="n"/>
      <c r="Y39" s="52" t="n"/>
    </row>
    <row r="40">
      <c r="W40" s="52" t="n"/>
      <c r="X40" s="52" t="n"/>
      <c r="Y40" s="52" t="n"/>
    </row>
    <row r="41">
      <c r="W41" s="52" t="n"/>
      <c r="X41" s="52" t="n"/>
      <c r="Y41" s="52" t="n"/>
    </row>
    <row r="42">
      <c r="W42" s="52" t="n"/>
      <c r="X42" s="52" t="n"/>
      <c r="Y42" s="52" t="n"/>
    </row>
    <row r="43">
      <c r="W43" s="52" t="n"/>
      <c r="X43" s="52" t="n"/>
      <c r="Y43" s="52" t="n"/>
    </row>
    <row r="44">
      <c r="W44" s="52" t="n"/>
      <c r="X44" s="52" t="n"/>
      <c r="Y44" s="52" t="n"/>
    </row>
    <row r="45">
      <c r="F45" s="56">
        <f>SUM(F39:F44)</f>
        <v/>
      </c>
      <c r="G45" s="56">
        <f>SUM(G39:G44)</f>
        <v/>
      </c>
      <c r="H45" s="56">
        <f>SUM(H39:H44)</f>
        <v/>
      </c>
      <c r="I45" s="56">
        <f>SUM(I39:I44)</f>
        <v/>
      </c>
      <c r="W45" s="52" t="n"/>
      <c r="X45" s="52" t="n"/>
      <c r="Y45" s="52" t="n"/>
    </row>
    <row r="46">
      <c r="W46" s="52" t="n"/>
      <c r="X46" s="52" t="n"/>
      <c r="Y46" s="52" t="n"/>
    </row>
    <row r="47">
      <c r="B47" t="inlineStr">
        <is>
          <t>AFTERHOURS COMPLETED &amp; PAID JOBS</t>
        </is>
      </c>
      <c r="W47" s="52" t="n"/>
      <c r="X47" s="52" t="n"/>
      <c r="Y47" s="52" t="n"/>
    </row>
    <row r="48">
      <c r="W48" s="52" t="n"/>
      <c r="X48" s="52" t="n"/>
      <c r="Y48" s="52" t="n"/>
    </row>
    <row r="49">
      <c r="W49" s="52" t="n"/>
      <c r="X49" s="52" t="n"/>
      <c r="Y49" s="52" t="n"/>
    </row>
    <row r="50">
      <c r="W50" s="52" t="n"/>
      <c r="X50" s="52" t="n"/>
      <c r="Y50" s="52" t="n"/>
    </row>
    <row r="51">
      <c r="W51" s="52" t="n"/>
      <c r="X51" s="52" t="n"/>
      <c r="Y51" s="52" t="n"/>
    </row>
    <row r="52">
      <c r="W52" s="52" t="n"/>
      <c r="X52" s="52" t="n"/>
      <c r="Y52" s="52" t="n"/>
    </row>
    <row r="53">
      <c r="W53" s="52" t="n"/>
      <c r="X53" s="52" t="n"/>
      <c r="Y53" s="52" t="n"/>
    </row>
    <row r="54">
      <c r="F54" s="56">
        <f>SUM(F48:F53)</f>
        <v/>
      </c>
      <c r="G54" s="56">
        <f>SUM(G48:G53)</f>
        <v/>
      </c>
      <c r="H54" s="56">
        <f>SUM(H48:H53)</f>
        <v/>
      </c>
      <c r="I54" s="56">
        <f>SUM(I48:I53)</f>
        <v/>
      </c>
      <c r="W54" s="52" t="n"/>
      <c r="X54" s="52" t="n"/>
      <c r="Y54" s="52" t="n"/>
    </row>
    <row r="55">
      <c r="W55" s="52" t="n"/>
      <c r="X55" s="52" t="n"/>
      <c r="Y55" s="52" t="n"/>
    </row>
    <row r="56">
      <c r="A56" s="57" t="n"/>
      <c r="B56" s="57" t="inlineStr">
        <is>
          <t>PREVIOUS JOBS COMPLETED &amp; PAID (COMMISSION) - Modoras Team Please do ADD to THIS SECTION or AMEND/TOUCH</t>
        </is>
      </c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8" t="n"/>
      <c r="X56" s="58" t="n"/>
      <c r="Y56" s="52" t="n"/>
    </row>
    <row r="57">
      <c r="A57" s="57" t="n"/>
      <c r="B57" s="57" t="n">
        <v>1</v>
      </c>
      <c r="C57" s="57" t="n"/>
      <c r="D57" s="57" t="n"/>
      <c r="E57" s="57" t="n"/>
      <c r="F57" s="57" t="n"/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8" t="n"/>
      <c r="X57" s="58" t="n"/>
      <c r="Y57" s="52" t="n"/>
    </row>
    <row r="58">
      <c r="A58" s="57" t="n"/>
      <c r="B58" s="57" t="n">
        <v>2</v>
      </c>
      <c r="C58" s="57" t="n"/>
      <c r="D58" s="57" t="n"/>
      <c r="E58" s="57" t="n"/>
      <c r="F58" s="57" t="n"/>
      <c r="G58" s="57" t="n"/>
      <c r="H58" s="57" t="n"/>
      <c r="I58" s="57" t="n"/>
      <c r="J58" s="57" t="n"/>
      <c r="K58" s="57" t="n"/>
      <c r="L58" s="57" t="n"/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8" t="n"/>
      <c r="X58" s="58" t="n"/>
      <c r="Y58" s="52" t="n"/>
    </row>
    <row r="59">
      <c r="A59" s="57" t="n"/>
      <c r="B59" s="57" t="n">
        <v>3</v>
      </c>
      <c r="C59" s="57" t="n"/>
      <c r="D59" s="57" t="n"/>
      <c r="E59" s="57" t="n"/>
      <c r="F59" s="57" t="n"/>
      <c r="G59" s="57" t="n"/>
      <c r="H59" s="57" t="n"/>
      <c r="I59" s="57" t="n"/>
      <c r="J59" s="57" t="n"/>
      <c r="K59" s="57" t="n"/>
      <c r="L59" s="57" t="n"/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8" t="n"/>
      <c r="X59" s="58" t="n"/>
      <c r="Y59" s="52" t="n"/>
    </row>
    <row r="60">
      <c r="A60" s="57" t="n"/>
      <c r="B60" s="57" t="n">
        <v>4</v>
      </c>
      <c r="C60" s="57" t="n"/>
      <c r="D60" s="57" t="n"/>
      <c r="E60" s="57" t="n"/>
      <c r="F60" s="57" t="n"/>
      <c r="G60" s="57" t="n"/>
      <c r="H60" s="57" t="n"/>
      <c r="I60" s="57" t="n"/>
      <c r="J60" s="57" t="n"/>
      <c r="K60" s="57" t="n"/>
      <c r="L60" s="57" t="n"/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8" t="n"/>
      <c r="X60" s="58" t="n"/>
      <c r="Y60" s="52" t="n"/>
    </row>
    <row r="61">
      <c r="A61" s="57" t="n"/>
      <c r="B61" s="57" t="n">
        <v>5</v>
      </c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8" t="n"/>
      <c r="X61" s="58" t="n"/>
      <c r="Y61" s="52" t="n"/>
    </row>
    <row r="62">
      <c r="A62" s="57" t="n"/>
      <c r="B62" s="57" t="n">
        <v>6</v>
      </c>
      <c r="C62" s="57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8" t="n"/>
      <c r="X62" s="58" t="n"/>
      <c r="Y62" s="52" t="n"/>
    </row>
    <row r="63">
      <c r="A63" s="57" t="n"/>
      <c r="B63" s="57" t="n">
        <v>7</v>
      </c>
      <c r="C63" s="57" t="n"/>
      <c r="D63" s="57" t="n"/>
      <c r="E63" s="57" t="n"/>
      <c r="F63" s="57" t="n"/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8" t="n"/>
      <c r="X63" s="58" t="n"/>
      <c r="Y63" s="52" t="n"/>
    </row>
    <row r="64">
      <c r="A64" s="57" t="n"/>
      <c r="B64" s="57" t="n">
        <v>8</v>
      </c>
      <c r="C64" s="57" t="n"/>
      <c r="D64" s="57" t="n"/>
      <c r="E64" s="57" t="n"/>
      <c r="F64" s="57" t="n"/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8" t="n"/>
      <c r="X64" s="58" t="n"/>
      <c r="Y64" s="52" t="n"/>
    </row>
    <row r="65">
      <c r="W65" s="52" t="n"/>
      <c r="X65" s="52" t="n"/>
      <c r="Y65" s="52" t="n"/>
    </row>
    <row r="66">
      <c r="W66" s="52" t="n"/>
      <c r="X66" s="52" t="n"/>
      <c r="Y66" s="52" t="n"/>
    </row>
    <row r="67">
      <c r="W67" s="52" t="n"/>
      <c r="X67" s="52" t="n"/>
      <c r="Y67" s="52" t="n"/>
    </row>
    <row r="68">
      <c r="W68" s="52" t="n"/>
      <c r="X68" s="52" t="n"/>
      <c r="Y68" s="52" t="n"/>
    </row>
    <row r="69">
      <c r="W69" s="52" t="n"/>
      <c r="X69" s="52" t="n"/>
      <c r="Y69" s="52" t="n"/>
    </row>
    <row r="70">
      <c r="F70" s="56">
        <f>SUM(F57:F69)</f>
        <v/>
      </c>
      <c r="G70" s="56">
        <f>SUM(G57:G69)</f>
        <v/>
      </c>
      <c r="H70" s="56">
        <f>SUM(H57:H69)</f>
        <v/>
      </c>
      <c r="I70" s="56">
        <f>SUM(I57:I69)</f>
        <v/>
      </c>
      <c r="W70" s="52" t="n"/>
      <c r="X70" s="52" t="n"/>
      <c r="Y70" s="52" t="n"/>
    </row>
    <row r="71">
      <c r="W71" s="52" t="n"/>
      <c r="X71" s="52" t="n"/>
      <c r="Y71" s="52" t="n"/>
    </row>
    <row r="72">
      <c r="B72" s="59" t="inlineStr">
        <is>
          <t>CURRENT JOBS COMPLETED (AWAITING PAYMENT)</t>
        </is>
      </c>
      <c r="W72" s="52" t="n"/>
      <c r="X72" s="52" t="n"/>
      <c r="Y72" s="52" t="n"/>
    </row>
    <row r="73">
      <c r="W73" s="52" t="n"/>
      <c r="X73" s="52" t="n"/>
      <c r="Y73" s="52" t="n"/>
    </row>
    <row r="74">
      <c r="W74" s="52" t="n"/>
      <c r="X74" s="52" t="n"/>
      <c r="Y74" s="52" t="n"/>
    </row>
    <row r="75">
      <c r="W75" s="52" t="n"/>
      <c r="X75" s="52" t="n"/>
      <c r="Y75" s="52" t="n"/>
    </row>
    <row r="76">
      <c r="W76" s="52" t="n"/>
      <c r="X76" s="52" t="n"/>
      <c r="Y76" s="52" t="n"/>
    </row>
    <row r="77">
      <c r="W77" s="52" t="n"/>
      <c r="X77" s="52" t="n"/>
      <c r="Y77" s="52" t="n"/>
    </row>
    <row r="78">
      <c r="W78" s="52" t="n"/>
      <c r="X78" s="52" t="n"/>
      <c r="Y78" s="52" t="n"/>
    </row>
    <row r="79">
      <c r="F79" s="56">
        <f>SUM(F73:F78)</f>
        <v/>
      </c>
      <c r="G79" s="56">
        <f>SUM(G73:G78)</f>
        <v/>
      </c>
      <c r="H79" s="56">
        <f>SUM(H73:H78)</f>
        <v/>
      </c>
      <c r="I79" s="56">
        <f>SUM(I73:I78)</f>
        <v/>
      </c>
      <c r="W79" s="52" t="n"/>
      <c r="X79" s="52" t="n"/>
      <c r="Y79" s="52" t="n"/>
    </row>
    <row r="80">
      <c r="W80" s="52" t="n"/>
      <c r="X80" s="52" t="n"/>
      <c r="Y80" s="52" t="n"/>
    </row>
    <row r="81">
      <c r="B81" s="59" t="inlineStr">
        <is>
          <t>WEEKEND CURRENT JOBS COMPLETED (AWAITING PAYMENT)</t>
        </is>
      </c>
      <c r="W81" s="52" t="n"/>
      <c r="X81" s="52" t="n"/>
      <c r="Y81" s="52" t="n"/>
    </row>
    <row r="82">
      <c r="W82" s="52" t="n"/>
      <c r="X82" s="52" t="n"/>
      <c r="Y82" s="52" t="n"/>
    </row>
    <row r="83">
      <c r="W83" s="52" t="n"/>
      <c r="X83" s="52" t="n"/>
      <c r="Y83" s="52" t="n"/>
    </row>
    <row r="84">
      <c r="W84" s="52" t="n"/>
      <c r="X84" s="52" t="n"/>
      <c r="Y84" s="52" t="n"/>
    </row>
    <row r="85">
      <c r="W85" s="52" t="n"/>
      <c r="X85" s="52" t="n"/>
      <c r="Y85" s="52" t="n"/>
    </row>
    <row r="86">
      <c r="W86" s="52" t="n"/>
      <c r="X86" s="52" t="n"/>
      <c r="Y86" s="52" t="n"/>
    </row>
    <row r="87">
      <c r="W87" s="52" t="n"/>
      <c r="X87" s="52" t="n"/>
      <c r="Y87" s="52" t="n"/>
    </row>
    <row r="88">
      <c r="F88" s="56">
        <f>SUM(F82:F87)</f>
        <v/>
      </c>
      <c r="G88" s="56">
        <f>SUM(G82:G87)</f>
        <v/>
      </c>
      <c r="H88" s="56">
        <f>SUM(H82:H87)</f>
        <v/>
      </c>
      <c r="I88" s="56">
        <f>SUM(I82:I87)</f>
        <v/>
      </c>
      <c r="W88" s="52" t="n"/>
      <c r="X88" s="52" t="n"/>
      <c r="Y88" s="52" t="n"/>
    </row>
    <row r="89">
      <c r="W89" s="52" t="n"/>
      <c r="X89" s="52" t="n"/>
      <c r="Y89" s="52" t="n"/>
    </row>
    <row r="90">
      <c r="B90" t="inlineStr">
        <is>
          <t>AFTERHOURS CURRENT JOBS COMPLETED (AWAITING PAYMENT)</t>
        </is>
      </c>
      <c r="W90" s="52" t="n"/>
      <c r="X90" s="52" t="n"/>
      <c r="Y90" s="52" t="n"/>
    </row>
    <row r="91">
      <c r="W91" s="52" t="n"/>
      <c r="X91" s="52" t="n"/>
      <c r="Y91" s="52" t="n"/>
    </row>
    <row r="92">
      <c r="W92" s="52" t="n"/>
      <c r="X92" s="52" t="n"/>
      <c r="Y92" s="52" t="n"/>
    </row>
    <row r="93">
      <c r="W93" s="52" t="n"/>
      <c r="X93" s="52" t="n"/>
      <c r="Y93" s="52" t="n"/>
    </row>
    <row r="94">
      <c r="W94" s="52" t="n"/>
      <c r="X94" s="52" t="n"/>
      <c r="Y94" s="52" t="n"/>
    </row>
    <row r="95">
      <c r="W95" s="52" t="n"/>
      <c r="X95" s="52" t="n"/>
      <c r="Y95" s="52" t="n"/>
    </row>
    <row r="96">
      <c r="W96" s="52" t="n"/>
      <c r="X96" s="52" t="n"/>
      <c r="Y96" s="52" t="n"/>
    </row>
    <row r="97">
      <c r="F97" s="56">
        <f>SUM(F91:F96)</f>
        <v/>
      </c>
      <c r="G97" s="56">
        <f>SUM(G91:G96)</f>
        <v/>
      </c>
      <c r="H97" s="56">
        <f>SUM(H91:H96)</f>
        <v/>
      </c>
      <c r="I97" s="56">
        <f>SUM(I91:I96)</f>
        <v/>
      </c>
      <c r="W97" s="52" t="n"/>
      <c r="X97" s="52" t="n"/>
      <c r="Y97" s="52" t="n"/>
    </row>
    <row r="98">
      <c r="W98" s="52" t="n"/>
      <c r="X98" s="52" t="n"/>
      <c r="Y98" s="52" t="n"/>
    </row>
    <row r="99">
      <c r="B99" s="59" t="inlineStr">
        <is>
          <t>CURRENT WORK ORDERS (AWAITING PAYMENT)</t>
        </is>
      </c>
      <c r="W99" s="52" t="n"/>
      <c r="X99" s="52" t="n"/>
      <c r="Y99" s="52" t="n"/>
    </row>
    <row r="100">
      <c r="W100" s="52" t="n"/>
      <c r="X100" s="52" t="n"/>
      <c r="Y100" s="52" t="n"/>
    </row>
    <row r="101">
      <c r="W101" s="52" t="n"/>
      <c r="X101" s="52" t="n"/>
      <c r="Y101" s="52" t="n"/>
    </row>
    <row r="102">
      <c r="W102" s="52" t="n"/>
      <c r="X102" s="52" t="n"/>
      <c r="Y102" s="52" t="n"/>
    </row>
    <row r="103">
      <c r="W103" s="52" t="n"/>
      <c r="X103" s="52" t="n"/>
      <c r="Y103" s="52" t="n"/>
    </row>
    <row r="104">
      <c r="W104" s="52" t="n"/>
      <c r="X104" s="52" t="n"/>
      <c r="Y104" s="52" t="n"/>
    </row>
    <row r="105">
      <c r="W105" s="52" t="n"/>
      <c r="X105" s="52" t="n"/>
      <c r="Y105" s="52" t="n"/>
    </row>
    <row r="106">
      <c r="F106" s="56">
        <f>SUM(F100:F105)</f>
        <v/>
      </c>
      <c r="G106" s="56">
        <f>SUM(G100:G105)</f>
        <v/>
      </c>
      <c r="H106" s="56">
        <f>SUM(H100:H105)</f>
        <v/>
      </c>
      <c r="I106" s="56">
        <f>SUM(I100:I105)</f>
        <v/>
      </c>
      <c r="W106" s="52" t="n"/>
      <c r="X106" s="52" t="n"/>
      <c r="Y106" s="52" t="n"/>
    </row>
    <row r="107">
      <c r="W107" s="52" t="n"/>
      <c r="X107" s="52" t="n"/>
      <c r="Y107" s="52" t="n"/>
    </row>
    <row r="108">
      <c r="B108" s="59" t="inlineStr">
        <is>
          <t>WEEKEND WORK ORDERS (AWAITING PAYMENT)</t>
        </is>
      </c>
      <c r="W108" s="52" t="n"/>
      <c r="X108" s="52" t="n"/>
      <c r="Y108" s="52" t="n"/>
    </row>
    <row r="109">
      <c r="W109" s="52" t="n"/>
      <c r="X109" s="52" t="n"/>
      <c r="Y109" s="52" t="n"/>
    </row>
    <row r="110">
      <c r="W110" s="52" t="n"/>
      <c r="X110" s="52" t="n"/>
      <c r="Y110" s="52" t="n"/>
    </row>
    <row r="111">
      <c r="W111" s="52" t="n"/>
      <c r="X111" s="52" t="n"/>
      <c r="Y111" s="52" t="n"/>
    </row>
    <row r="112">
      <c r="W112" s="52" t="n"/>
      <c r="X112" s="52" t="n"/>
      <c r="Y112" s="52" t="n"/>
    </row>
    <row r="113">
      <c r="W113" s="52" t="n"/>
      <c r="X113" s="52" t="n"/>
      <c r="Y113" s="52" t="n"/>
    </row>
    <row r="114">
      <c r="W114" s="52" t="n"/>
      <c r="X114" s="52" t="n"/>
      <c r="Y114" s="52" t="n"/>
    </row>
    <row r="115">
      <c r="F115" s="56">
        <f>SUM(F109:F114)</f>
        <v/>
      </c>
      <c r="G115" s="56">
        <f>SUM(G109:G114)</f>
        <v/>
      </c>
      <c r="H115" s="56">
        <f>SUM(H109:H114)</f>
        <v/>
      </c>
      <c r="I115" s="56">
        <f>SUM(I109:I114)</f>
        <v/>
      </c>
      <c r="W115" s="52" t="n"/>
      <c r="X115" s="52" t="n"/>
      <c r="Y115" s="52" t="n"/>
    </row>
    <row r="116">
      <c r="W116" s="52" t="n"/>
      <c r="X116" s="52" t="n"/>
      <c r="Y116" s="52" t="n"/>
    </row>
    <row r="117">
      <c r="B117" t="inlineStr">
        <is>
          <t>AFTERHOURS WORK ORDERS (AWAITING PAYMENT)</t>
        </is>
      </c>
      <c r="W117" s="52" t="n"/>
      <c r="X117" s="52" t="n"/>
      <c r="Y117" s="52" t="n"/>
    </row>
    <row r="118">
      <c r="W118" s="52" t="n"/>
      <c r="X118" s="52" t="n"/>
      <c r="Y118" s="52" t="n"/>
    </row>
    <row r="119">
      <c r="W119" s="52" t="n"/>
      <c r="X119" s="52" t="n"/>
      <c r="Y119" s="52" t="n"/>
    </row>
    <row r="120">
      <c r="W120" s="52" t="n"/>
      <c r="X120" s="52" t="n"/>
      <c r="Y120" s="52" t="n"/>
    </row>
    <row r="121">
      <c r="W121" s="52" t="n"/>
      <c r="X121" s="52" t="n"/>
      <c r="Y121" s="52" t="n"/>
    </row>
    <row r="122">
      <c r="W122" s="52" t="n"/>
      <c r="X122" s="52" t="n"/>
      <c r="Y122" s="52" t="n"/>
    </row>
    <row r="123">
      <c r="W123" s="52" t="n"/>
      <c r="X123" s="52" t="n"/>
      <c r="Y123" s="52" t="n"/>
    </row>
    <row r="124">
      <c r="F124" s="56">
        <f>SUM(F118:F123)</f>
        <v/>
      </c>
      <c r="G124" s="56">
        <f>SUM(G118:G123)</f>
        <v/>
      </c>
      <c r="H124" s="56">
        <f>SUM(H118:H123)</f>
        <v/>
      </c>
      <c r="I124" s="56">
        <f>SUM(I118:I123)</f>
        <v/>
      </c>
      <c r="W124" s="52" t="n"/>
      <c r="X124" s="52" t="n"/>
      <c r="Y124" s="52" t="n"/>
    </row>
    <row r="125">
      <c r="W125" s="52" t="n"/>
      <c r="X125" s="52" t="n"/>
      <c r="Y125" s="52" t="n"/>
    </row>
    <row r="126">
      <c r="B126" t="inlineStr">
        <is>
          <t>UNSUCCESSFUL JOBS</t>
        </is>
      </c>
      <c r="W126" s="52" t="n"/>
      <c r="X126" s="52" t="n"/>
      <c r="Y126" s="52" t="n"/>
    </row>
    <row r="127">
      <c r="W127" s="52" t="n"/>
      <c r="X127" s="52" t="n"/>
      <c r="Y127" s="52" t="n"/>
    </row>
    <row r="128">
      <c r="W128" s="52" t="n"/>
      <c r="X128" s="52" t="n"/>
      <c r="Y128" s="52" t="n"/>
    </row>
    <row r="129">
      <c r="W129" s="52" t="n"/>
      <c r="X129" s="52" t="n"/>
      <c r="Y129" s="52" t="n"/>
    </row>
    <row r="130">
      <c r="W130" s="52" t="n"/>
      <c r="X130" s="52" t="n"/>
      <c r="Y130" s="52" t="n"/>
    </row>
    <row r="131">
      <c r="W131" s="52" t="n"/>
      <c r="X131" s="52" t="n"/>
      <c r="Y131" s="52" t="n"/>
    </row>
    <row r="132">
      <c r="W132" s="52" t="n"/>
      <c r="X132" s="52" t="n"/>
      <c r="Y132" s="52" t="n"/>
    </row>
    <row r="133">
      <c r="F133" s="56">
        <f>SUM(F127:F132)</f>
        <v/>
      </c>
      <c r="G133" s="56">
        <f>SUM(G127:G132)</f>
        <v/>
      </c>
      <c r="H133" s="56">
        <f>SUM(H127:H132)</f>
        <v/>
      </c>
      <c r="I133" s="56">
        <f>SUM(I127:I132)</f>
        <v/>
      </c>
      <c r="W133" s="52" t="n"/>
      <c r="X133" s="52" t="n"/>
      <c r="Y133" s="52" t="n"/>
    </row>
    <row r="134">
      <c r="W134" s="52" t="n"/>
      <c r="X134" s="52" t="n"/>
      <c r="Y134" s="52" t="n"/>
    </row>
    <row r="135">
      <c r="B135" t="inlineStr">
        <is>
          <t>WEEKEND UNSUCCESSFUL JOBS</t>
        </is>
      </c>
      <c r="W135" s="52" t="n"/>
      <c r="X135" s="52" t="n"/>
      <c r="Y135" s="52" t="n"/>
    </row>
    <row r="136">
      <c r="W136" s="52" t="n"/>
      <c r="X136" s="52" t="n"/>
      <c r="Y136" s="52" t="n"/>
    </row>
    <row r="137">
      <c r="W137" s="52" t="n"/>
      <c r="X137" s="52" t="n"/>
      <c r="Y137" s="52" t="n"/>
    </row>
    <row r="138">
      <c r="W138" s="52" t="n"/>
      <c r="X138" s="52" t="n"/>
      <c r="Y138" s="52" t="n"/>
    </row>
    <row r="139">
      <c r="W139" s="52" t="n"/>
      <c r="X139" s="52" t="n"/>
      <c r="Y139" s="52" t="n"/>
    </row>
    <row r="140">
      <c r="W140" s="52" t="n"/>
      <c r="X140" s="52" t="n"/>
      <c r="Y140" s="52" t="n"/>
    </row>
    <row r="141">
      <c r="W141" s="52" t="n"/>
      <c r="X141" s="52" t="n"/>
      <c r="Y141" s="52" t="n"/>
    </row>
    <row r="142">
      <c r="F142" s="56">
        <f>SUM(F136:F141)</f>
        <v/>
      </c>
      <c r="G142" s="56">
        <f>SUM(G136:G141)</f>
        <v/>
      </c>
      <c r="H142" s="56">
        <f>SUM(H136:H141)</f>
        <v/>
      </c>
      <c r="I142" s="56">
        <f>SUM(I136:I141)</f>
        <v/>
      </c>
      <c r="W142" s="52" t="n"/>
      <c r="X142" s="52" t="n"/>
      <c r="Y142" s="52" t="n"/>
    </row>
    <row r="143">
      <c r="W143" s="52" t="n"/>
      <c r="X143" s="52" t="n"/>
      <c r="Y143" s="52" t="n"/>
    </row>
    <row r="144">
      <c r="B144" t="inlineStr">
        <is>
          <t>AFTERHOURS UNSUCCESSFUL JOBS</t>
        </is>
      </c>
      <c r="W144" s="52" t="n"/>
      <c r="X144" s="52" t="n"/>
      <c r="Y144" s="52" t="n"/>
    </row>
    <row r="145">
      <c r="W145" s="52" t="n"/>
      <c r="X145" s="52" t="n"/>
      <c r="Y145" s="52" t="n"/>
    </row>
    <row r="146">
      <c r="W146" s="52" t="n"/>
      <c r="X146" s="52" t="n"/>
      <c r="Y146" s="52" t="n"/>
    </row>
    <row r="147">
      <c r="W147" s="52" t="n"/>
      <c r="X147" s="52" t="n"/>
      <c r="Y147" s="52" t="n"/>
    </row>
    <row r="148">
      <c r="W148" s="52" t="n"/>
      <c r="X148" s="52" t="n"/>
      <c r="Y148" s="52" t="n"/>
    </row>
    <row r="149">
      <c r="W149" s="52" t="n"/>
      <c r="X149" s="52" t="n"/>
      <c r="Y149" s="52" t="n"/>
    </row>
    <row r="150">
      <c r="W150" s="52" t="n"/>
      <c r="X150" s="52" t="n"/>
      <c r="Y150" s="52" t="n"/>
    </row>
    <row r="151">
      <c r="F151" s="56">
        <f>SUM(F145:F150)</f>
        <v/>
      </c>
      <c r="G151" s="56">
        <f>SUM(G145:G150)</f>
        <v/>
      </c>
      <c r="H151" s="56">
        <f>SUM(H145:H150)</f>
        <v/>
      </c>
      <c r="I151" s="56">
        <f>SUM(I145:I150)</f>
        <v/>
      </c>
      <c r="W151" s="52" t="n"/>
      <c r="X151" s="52" t="n"/>
      <c r="Y151" s="52" t="n"/>
    </row>
    <row r="152">
      <c r="W152" s="52" t="n"/>
      <c r="X152" s="52" t="n"/>
      <c r="Y152" s="52" t="n"/>
    </row>
    <row r="153">
      <c r="B153" t="inlineStr">
        <is>
          <t>WEEK UNCATEGORISED</t>
        </is>
      </c>
      <c r="W153" s="52" t="n"/>
      <c r="X153" s="52" t="n"/>
      <c r="Y153" s="52" t="n"/>
    </row>
    <row r="154">
      <c r="W154" s="52" t="n"/>
      <c r="X154" s="52" t="n"/>
      <c r="Y154" s="52" t="n"/>
    </row>
    <row r="155">
      <c r="W155" s="52" t="n"/>
      <c r="X155" s="52" t="n"/>
      <c r="Y155" s="52" t="n"/>
    </row>
    <row r="156">
      <c r="W156" s="52" t="n"/>
      <c r="X156" s="52" t="n"/>
      <c r="Y156" s="52" t="n"/>
    </row>
    <row r="157">
      <c r="W157" s="52" t="n"/>
      <c r="X157" s="52" t="n"/>
      <c r="Y157" s="52" t="n"/>
    </row>
    <row r="158">
      <c r="W158" s="52" t="n"/>
      <c r="X158" s="52" t="n"/>
      <c r="Y158" s="52" t="n"/>
    </row>
    <row r="159">
      <c r="W159" s="52" t="n"/>
      <c r="X159" s="52" t="n"/>
      <c r="Y159" s="52" t="n"/>
    </row>
    <row r="160">
      <c r="F160" s="56">
        <f>SUM(F154:F159)</f>
        <v/>
      </c>
      <c r="G160" s="56">
        <f>SUM(G154:G159)</f>
        <v/>
      </c>
      <c r="H160" s="56">
        <f>SUM(H154:H159)</f>
        <v/>
      </c>
      <c r="I160" s="56">
        <f>SUM(I154:I159)</f>
        <v/>
      </c>
      <c r="W160" s="52" t="n"/>
      <c r="X160" s="52" t="n"/>
      <c r="Y160" s="52" t="n"/>
    </row>
    <row r="161">
      <c r="W161" s="52" t="n"/>
      <c r="X161" s="52" t="n"/>
      <c r="Y161" s="52" t="n"/>
    </row>
    <row r="162">
      <c r="B162" t="inlineStr">
        <is>
          <t>WEEKEND UNCATEGORISED</t>
        </is>
      </c>
      <c r="W162" s="52" t="n"/>
      <c r="X162" s="52" t="n"/>
      <c r="Y162" s="52" t="n"/>
    </row>
    <row r="163">
      <c r="W163" s="52" t="n"/>
      <c r="X163" s="52" t="n"/>
      <c r="Y163" s="52" t="n"/>
    </row>
    <row r="164">
      <c r="W164" s="52" t="n"/>
      <c r="X164" s="52" t="n"/>
      <c r="Y164" s="52" t="n"/>
    </row>
    <row r="165">
      <c r="W165" s="52" t="n"/>
      <c r="X165" s="52" t="n"/>
      <c r="Y165" s="52" t="n"/>
    </row>
    <row r="166">
      <c r="W166" s="52" t="n"/>
      <c r="X166" s="52" t="n"/>
      <c r="Y166" s="52" t="n"/>
    </row>
    <row r="167">
      <c r="W167" s="52" t="n"/>
      <c r="X167" s="52" t="n"/>
      <c r="Y167" s="52" t="n"/>
    </row>
    <row r="168">
      <c r="W168" s="52" t="n"/>
      <c r="X168" s="52" t="n"/>
      <c r="Y168" s="52" t="n"/>
    </row>
    <row r="169">
      <c r="F169" s="56">
        <f>SUM(F163:F168)</f>
        <v/>
      </c>
      <c r="G169" s="56">
        <f>SUM(G163:G168)</f>
        <v/>
      </c>
      <c r="H169" s="56">
        <f>SUM(H163:H168)</f>
        <v/>
      </c>
      <c r="I169" s="56">
        <f>SUM(I163:I168)</f>
        <v/>
      </c>
      <c r="W169" s="52" t="n"/>
      <c r="X169" s="52" t="n"/>
      <c r="Y169" s="52" t="n"/>
    </row>
    <row r="170">
      <c r="W170" s="52" t="n"/>
      <c r="X170" s="52" t="n"/>
      <c r="Y170" s="52" t="n"/>
    </row>
    <row r="171">
      <c r="B171" t="inlineStr">
        <is>
          <t>AFTERHOURS UNCATEGORISED</t>
        </is>
      </c>
      <c r="W171" s="52" t="n"/>
      <c r="X171" s="52" t="n"/>
      <c r="Y171" s="52" t="n"/>
    </row>
    <row r="172">
      <c r="W172" s="52" t="n"/>
      <c r="X172" s="52" t="n"/>
      <c r="Y172" s="52" t="n"/>
    </row>
    <row r="173">
      <c r="W173" s="52" t="n"/>
      <c r="X173" s="52" t="n"/>
      <c r="Y173" s="52" t="n"/>
    </row>
    <row r="174">
      <c r="W174" s="52" t="n"/>
      <c r="X174" s="52" t="n"/>
      <c r="Y174" s="52" t="n"/>
    </row>
    <row r="175">
      <c r="W175" s="52" t="n"/>
      <c r="X175" s="52" t="n"/>
      <c r="Y175" s="52" t="n"/>
    </row>
    <row r="176">
      <c r="W176" s="52" t="n"/>
      <c r="X176" s="52" t="n"/>
      <c r="Y176" s="52" t="n"/>
    </row>
    <row r="177">
      <c r="W177" s="52" t="n"/>
      <c r="X177" s="52" t="n"/>
      <c r="Y177" s="52" t="n"/>
    </row>
    <row r="178">
      <c r="F178" s="56">
        <f>SUM(F172:F177)</f>
        <v/>
      </c>
      <c r="G178" s="56">
        <f>SUM(G172:G177)</f>
        <v/>
      </c>
      <c r="H178" s="56">
        <f>SUM(H172:H177)</f>
        <v/>
      </c>
      <c r="I178" s="56">
        <f>SUM(I172:I177)</f>
        <v/>
      </c>
    </row>
  </sheetData>
  <conditionalFormatting sqref="K29:U34">
    <cfRule type="cellIs" priority="1" operator="equal" dxfId="0">
      <formula>0</formula>
    </cfRule>
  </conditionalFormatting>
  <conditionalFormatting sqref="K39:U44">
    <cfRule type="cellIs" priority="2" operator="equal" dxfId="0">
      <formula>0</formula>
    </cfRule>
  </conditionalFormatting>
  <conditionalFormatting sqref="K48:U53">
    <cfRule type="cellIs" priority="3" operator="equal" dxfId="0">
      <formula>0</formula>
    </cfRule>
  </conditionalFormatting>
  <conditionalFormatting sqref="K57:U69">
    <cfRule type="cellIs" priority="4" operator="equal" dxfId="0">
      <formula>0</formula>
    </cfRule>
  </conditionalFormatting>
  <conditionalFormatting sqref="K73:U78">
    <cfRule type="cellIs" priority="5" operator="equal" dxfId="0">
      <formula>0</formula>
    </cfRule>
  </conditionalFormatting>
  <conditionalFormatting sqref="K82:U87">
    <cfRule type="cellIs" priority="6" operator="equal" dxfId="0">
      <formula>0</formula>
    </cfRule>
  </conditionalFormatting>
  <conditionalFormatting sqref="K91:U96">
    <cfRule type="cellIs" priority="7" operator="equal" dxfId="0">
      <formula>0</formula>
    </cfRule>
  </conditionalFormatting>
  <conditionalFormatting sqref="K100:U105">
    <cfRule type="cellIs" priority="8" operator="equal" dxfId="0">
      <formula>0</formula>
    </cfRule>
  </conditionalFormatting>
  <conditionalFormatting sqref="K109:U114">
    <cfRule type="cellIs" priority="9" operator="equal" dxfId="0">
      <formula>0</formula>
    </cfRule>
  </conditionalFormatting>
  <conditionalFormatting sqref="K118:U123">
    <cfRule type="cellIs" priority="10" operator="equal" dxfId="0">
      <formula>0</formula>
    </cfRule>
  </conditionalFormatting>
  <conditionalFormatting sqref="K127:U132">
    <cfRule type="cellIs" priority="11" operator="equal" dxfId="0">
      <formula>0</formula>
    </cfRule>
  </conditionalFormatting>
  <conditionalFormatting sqref="K136:U141">
    <cfRule type="cellIs" priority="12" operator="equal" dxfId="0">
      <formula>0</formula>
    </cfRule>
  </conditionalFormatting>
  <conditionalFormatting sqref="K145:U150">
    <cfRule type="cellIs" priority="13" operator="equal" dxfId="0">
      <formula>0</formula>
    </cfRule>
  </conditionalFormatting>
  <conditionalFormatting sqref="K154:U159">
    <cfRule type="cellIs" priority="14" operator="equal" dxfId="0">
      <formula>0</formula>
    </cfRule>
  </conditionalFormatting>
  <conditionalFormatting sqref="K163:U168">
    <cfRule type="cellIs" priority="15" operator="equal" dxfId="0">
      <formula>0</formula>
    </cfRule>
  </conditionalFormatting>
  <conditionalFormatting sqref="K172:U177">
    <cfRule type="cellIs" priority="16" operator="equal" dxfId="0">
      <formula>0</formula>
    </cfRule>
  </conditionalFormatting>
  <conditionalFormatting sqref="I29:I44">
    <cfRule type="expression" priority="17" dxfId="1">
      <formula>$K29="N"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3da813"/>
    <outlinePr summaryBelow="1" summaryRight="1"/>
    <pageSetUpPr/>
  </sheetPr>
  <dimension ref="A1:AA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WEEKLY COMMISSION</t>
        </is>
      </c>
      <c r="F1" s="2" t="inlineStr">
        <is>
          <t>WEEK ENDING</t>
        </is>
      </c>
      <c r="G1" s="2" t="inlineStr">
        <is>
          <t>30/11/2025</t>
        </is>
      </c>
    </row>
    <row r="2">
      <c r="K2" s="3" t="inlineStr">
        <is>
          <t>PHOTOS</t>
        </is>
      </c>
      <c r="L2" s="4" t="n"/>
      <c r="M2" s="4" t="n"/>
      <c r="N2" s="3" t="inlineStr">
        <is>
          <t>QUOTE</t>
        </is>
      </c>
      <c r="O2" s="4" t="n"/>
      <c r="P2" s="4" t="n"/>
      <c r="Q2" s="3" t="inlineStr">
        <is>
          <t>INVOICE</t>
        </is>
      </c>
      <c r="R2" s="4" t="n"/>
      <c r="S2" s="5" t="n"/>
      <c r="T2" s="5" t="n"/>
    </row>
    <row r="3">
      <c r="B3" s="3" t="inlineStr">
        <is>
          <t>BOOKED JOBS</t>
        </is>
      </c>
      <c r="C3" s="6">
        <f>B4+B5</f>
        <v/>
      </c>
      <c r="E3" s="3" t="inlineStr">
        <is>
          <t>WEEKLY TARGET</t>
        </is>
      </c>
      <c r="F3" s="4" t="n"/>
      <c r="G3" s="5" t="n"/>
      <c r="K3" s="7" t="inlineStr">
        <is>
          <t>BEFORE</t>
        </is>
      </c>
      <c r="L3" s="8" t="inlineStr">
        <is>
          <t>AFTER</t>
        </is>
      </c>
      <c r="M3" s="8" t="inlineStr">
        <is>
          <t>RECEIPT</t>
        </is>
      </c>
      <c r="N3" s="7" t="inlineStr">
        <is>
          <t>DESCRIPTION</t>
        </is>
      </c>
      <c r="O3" s="8" t="inlineStr">
        <is>
          <t>SIGNED</t>
        </is>
      </c>
      <c r="P3" s="8" t="inlineStr">
        <is>
          <t>EMAILED</t>
        </is>
      </c>
      <c r="Q3" s="7" t="inlineStr">
        <is>
          <t>DESCRIPTION</t>
        </is>
      </c>
      <c r="R3" s="8" t="inlineStr">
        <is>
          <t>SIGNED</t>
        </is>
      </c>
      <c r="S3" s="8" t="inlineStr">
        <is>
          <t>EMAILED</t>
        </is>
      </c>
      <c r="T3" s="9" t="inlineStr">
        <is>
          <t>5 Star Review</t>
        </is>
      </c>
    </row>
    <row r="4">
      <c r="B4" s="1" t="inlineStr">
        <is>
          <t>SUCCESSFUL</t>
        </is>
      </c>
      <c r="C4" s="10">
        <f>O11</f>
        <v/>
      </c>
      <c r="E4" s="11" t="inlineStr">
        <is>
          <t>Tier 1</t>
        </is>
      </c>
      <c r="F4" t="inlineStr">
        <is>
          <t>&lt;$25000</t>
        </is>
      </c>
      <c r="G4" s="12">
        <f>0.05</f>
        <v/>
      </c>
      <c r="J4" s="3" t="inlineStr">
        <is>
          <t>TAKEN</t>
        </is>
      </c>
      <c r="K4" s="13">
        <f>L46</f>
        <v/>
      </c>
      <c r="L4" s="13">
        <f>M46</f>
        <v/>
      </c>
      <c r="M4" s="13">
        <f>N46</f>
        <v/>
      </c>
      <c r="N4" s="13">
        <f>O46</f>
        <v/>
      </c>
      <c r="O4" s="13">
        <f>P46</f>
        <v/>
      </c>
      <c r="P4" s="13">
        <f>Q46</f>
        <v/>
      </c>
      <c r="Q4" s="13">
        <f>R46</f>
        <v/>
      </c>
      <c r="R4" s="13">
        <f>S46</f>
        <v/>
      </c>
      <c r="S4" s="13">
        <f>T46</f>
        <v/>
      </c>
      <c r="T4" s="14">
        <f>SUM(U29:U44) + SUM(U49:U54) + SUM(U83:U88) + SUM(U92:U97) + SUM(U110:U115) + SUM(U119:U124)</f>
        <v/>
      </c>
    </row>
    <row r="5">
      <c r="B5" s="1" t="inlineStr">
        <is>
          <t>UNSUCCESSFUL</t>
        </is>
      </c>
      <c r="C5" s="10">
        <f>O12</f>
        <v/>
      </c>
      <c r="E5" s="15" t="inlineStr">
        <is>
          <t>Tier 2</t>
        </is>
      </c>
      <c r="F5" s="16" t="inlineStr">
        <is>
          <t>&gt;=$25000</t>
        </is>
      </c>
      <c r="G5" s="17">
        <f>0.1</f>
        <v/>
      </c>
      <c r="J5" s="7" t="inlineStr">
        <is>
          <t>%</t>
        </is>
      </c>
      <c r="K5" s="18">
        <f>L46/L45</f>
        <v/>
      </c>
      <c r="L5" s="18">
        <f>M46/M45</f>
        <v/>
      </c>
      <c r="M5" s="18">
        <f>N46/N45</f>
        <v/>
      </c>
      <c r="N5" s="18">
        <f>O46/O45</f>
        <v/>
      </c>
      <c r="O5" s="18">
        <f>P46/P45</f>
        <v/>
      </c>
      <c r="P5" s="18">
        <f>Q46/Q45</f>
        <v/>
      </c>
      <c r="Q5" s="18">
        <f>R46/R45</f>
        <v/>
      </c>
      <c r="R5" s="18">
        <f>S46/S45</f>
        <v/>
      </c>
      <c r="S5" s="18">
        <f>T46/T45</f>
        <v/>
      </c>
      <c r="T5" s="19" t="n"/>
    </row>
    <row r="6">
      <c r="B6" s="1" t="inlineStr">
        <is>
          <t>SUCCESSFUL (%)</t>
        </is>
      </c>
      <c r="C6" s="20">
        <f>O13</f>
        <v/>
      </c>
    </row>
    <row r="7">
      <c r="C7" s="21" t="n"/>
      <c r="F7" s="3" t="inlineStr">
        <is>
          <t>ACTUAL</t>
        </is>
      </c>
      <c r="G7" s="6" t="inlineStr">
        <is>
          <t>POTENTIAL</t>
        </is>
      </c>
      <c r="H7" s="22" t="inlineStr">
        <is>
          <t>Exc. SUPER</t>
        </is>
      </c>
    </row>
    <row r="8">
      <c r="B8" s="7" t="inlineStr">
        <is>
          <t>AVERAGE SALE</t>
        </is>
      </c>
      <c r="C8" s="23">
        <f>O14</f>
        <v/>
      </c>
      <c r="E8" s="3" t="inlineStr">
        <is>
          <t>NET PROFIT</t>
        </is>
      </c>
      <c r="F8" s="24">
        <f>P10-R10</f>
        <v/>
      </c>
      <c r="G8" s="25">
        <f>SUM(I29:I44) + SUM(I83:I88) + SUM(I110:I115) + SUM(I137:I142)</f>
        <v/>
      </c>
      <c r="K8" s="3" t="inlineStr">
        <is>
          <t>DAILY NET PROFIT</t>
        </is>
      </c>
      <c r="L8" s="4" t="n"/>
      <c r="M8" s="4" t="n"/>
      <c r="N8" s="4" t="n"/>
      <c r="O8" s="4" t="n"/>
      <c r="P8" s="4" t="n"/>
      <c r="Q8" s="4" t="n"/>
      <c r="R8" s="26" t="inlineStr">
        <is>
          <t>WEEKDAY</t>
        </is>
      </c>
      <c r="S8" s="27" t="inlineStr">
        <is>
          <t>WEEKEND</t>
        </is>
      </c>
    </row>
    <row r="9">
      <c r="E9" s="13" t="inlineStr">
        <is>
          <t>UNLOCKED</t>
        </is>
      </c>
      <c r="F9" s="28">
        <f>IF(P10&gt;=25000,G5,G4)</f>
        <v/>
      </c>
      <c r="G9" s="29">
        <f>=IF(G8&gt;=25000,G5,G4)</f>
        <v/>
      </c>
      <c r="K9" s="3" t="inlineStr">
        <is>
          <t>MON</t>
        </is>
      </c>
      <c r="L9" s="30" t="inlineStr">
        <is>
          <t>TUE</t>
        </is>
      </c>
      <c r="M9" s="30" t="inlineStr">
        <is>
          <t>WED</t>
        </is>
      </c>
      <c r="N9" s="30" t="inlineStr">
        <is>
          <t>THU</t>
        </is>
      </c>
      <c r="O9" s="30" t="inlineStr">
        <is>
          <t>FRI</t>
        </is>
      </c>
      <c r="P9" s="30" t="inlineStr">
        <is>
          <t>Total</t>
        </is>
      </c>
      <c r="Q9" s="31" t="inlineStr">
        <is>
          <t>SAT</t>
        </is>
      </c>
      <c r="R9" s="26" t="inlineStr">
        <is>
          <t>Awaiting Payment</t>
        </is>
      </c>
      <c r="S9" s="27" t="inlineStr">
        <is>
          <t>Awaiting Payment</t>
        </is>
      </c>
    </row>
    <row r="10">
      <c r="E10" s="13" t="inlineStr">
        <is>
          <t>COMMISSION - PAY OUT</t>
        </is>
      </c>
      <c r="F10" s="32">
        <f>F8*F9</f>
        <v/>
      </c>
      <c r="G10" s="33">
        <f>G8*G9</f>
        <v/>
      </c>
      <c r="H10" s="34">
        <f>F10/1.12</f>
        <v/>
      </c>
      <c r="K10" s="35">
        <f>SUMIF(C29:C44, "24/11/2025", I29:I44) + SUMIF(C49:C54, "24/11/2025", I49:I54) + SUMIF(C83:C88, "24/11/2025", I83:I88) + SUMIF(C92:C97, "24/11/2025", I92:I97) + SUMIF(C110:C115, "24/11/2025", I110:I115) + SUMIF(C119:C124, "24/11/2025", I119:I124)</f>
        <v/>
      </c>
      <c r="L10" s="36">
        <f>SUMIF(C29:C44, "25/11/2025", I29:I44) + SUMIF(C49:C54, "25/11/2025", I49:I54) + SUMIF(C83:C88, "25/11/2025", I83:I88) + SUMIF(C92:C97, "25/11/2025", I92:I97) + SUMIF(C110:C115, "25/11/2025", I110:I115) + SUMIF(C119:C124, "25/11/2025", I119:I124)</f>
        <v/>
      </c>
      <c r="M10" s="36">
        <f>SUMIF(C29:C44, "26/11/2025", I29:I44) + SUMIF(C49:C54, "26/11/2025", I49:I54) + SUMIF(C83:C88, "26/11/2025", I83:I88) + SUMIF(C92:C97, "26/11/2025", I92:I97) + SUMIF(C110:C115, "26/11/2025", I110:I115) + SUMIF(C119:C124, "26/11/2025", I119:I124)</f>
        <v/>
      </c>
      <c r="N10" s="36">
        <f>SUMIF(C29:C44, "27/11/2025", I29:I44) + SUMIF(C49:C54, "27/11/2025", I49:I54) + SUMIF(C83:C88, "27/11/2025", I83:I88) + SUMIF(C92:C97, "27/11/2025", I92:I97) + SUMIF(C110:C115, "27/11/2025", I110:I115) + SUMIF(C119:C124, "27/11/2025", I119:I124)</f>
        <v/>
      </c>
      <c r="O10" s="36">
        <f>SUMIF(C29:C44, "28/11/2025", I29:I44) + SUMIF(C49:C54, "28/11/2025", I49:I54) + SUMIF(C83:C88, "28/11/2025", I83:I88) + SUMIF(C92:C97, "28/11/2025", I92:I97) + SUMIF(C110:C115, "28/11/2025", I110:I115) + SUMIF(C119:C124, "28/11/2025", I119:I124)</f>
        <v/>
      </c>
      <c r="P10" s="36">
        <f>SUM(J10:N10)</f>
        <v/>
      </c>
      <c r="Q10" s="37">
        <f>SUMIF(C29:C44, "29/11/2025", I29:I44) + SUMIF(C49:C54, "29/11/2025", I49:I54) + SUMIF(C83:C88, "29/11/2025", I83:I88) + SUMIF(C92:C97, "29/11/2025", I92:I97) + SUMIF(C110:C115, "29/11/2025", I110:I115) + SUMIF(C119:C124, "29/11/2025", I119:I124)</f>
        <v/>
      </c>
      <c r="R10" s="38">
        <f>SUM(I83:I88) + SUM(I110:I115)</f>
        <v/>
      </c>
      <c r="S10" s="39">
        <f>SUM(I92:I97) + SUM(I119:I124)</f>
        <v/>
      </c>
    </row>
    <row r="11">
      <c r="E11" s="13" t="inlineStr">
        <is>
          <t>EMERGENCY</t>
        </is>
      </c>
      <c r="F11" s="32">
        <f>P10</f>
        <v/>
      </c>
      <c r="G11" s="21" t="n"/>
      <c r="J11" t="inlineStr">
        <is>
          <t>Successful</t>
        </is>
      </c>
      <c r="K11">
        <f>COUNTIF(C29:C44, "24/11/2025") + COUNTIF(C49:C54, "24/11/2025") + COUNTIF(C83:C88, "24/11/2025") + COUNTIF(C92:C97, "24/11/2025") + COUNTIF(C110:C115, "24/11/2025") + COUNTIF(C119:C124, "24/11/2025")</f>
        <v/>
      </c>
      <c r="L11">
        <f>COUNTIF(C29:C44, "25/11/2025") + COUNTIF(C49:C54, "25/11/2025") + COUNTIF(C83:C88, "25/11/2025") + COUNTIF(C92:C97, "25/11/2025") + COUNTIF(C110:C115, "25/11/2025") + COUNTIF(C119:C124, "25/11/2025")</f>
        <v/>
      </c>
      <c r="M11">
        <f>COUNTIF(C29:C44, "26/11/2025") + COUNTIF(C49:C54, "26/11/2025") + COUNTIF(C83:C88, "26/11/2025") + COUNTIF(C92:C97, "26/11/2025") + COUNTIF(C110:C115, "26/11/2025") + COUNTIF(C119:C124, "26/11/2025")</f>
        <v/>
      </c>
      <c r="N11">
        <f>COUNTIF(C29:C44, "27/11/2025") + COUNTIF(C49:C54, "27/11/2025") + COUNTIF(C83:C88, "27/11/2025") + COUNTIF(C92:C97, "27/11/2025") + COUNTIF(C110:C115, "27/11/2025") + COUNTIF(C119:C124, "27/11/2025")</f>
        <v/>
      </c>
      <c r="O11">
        <f>COUNTIF(C29:C44, "28/11/2025") + COUNTIF(C49:C54, "28/11/2025") + COUNTIF(C83:C88, "28/11/2025") + COUNTIF(C92:C97, "28/11/2025") + COUNTIF(C110:C115, "28/11/2025") + COUNTIF(C119:C124, "28/11/2025")</f>
        <v/>
      </c>
      <c r="P11">
        <f>SUM(K11:O11)</f>
        <v/>
      </c>
      <c r="Q11">
        <f>COUNTIF(C29:C44, "29/11/2025") + COUNTIF(C49:C54, "29/11/2025") + COUNTIF(C83:C88, "29/11/2025") + COUNTIF(C92:C97, "29/11/2025") + COUNTIF(C110:C115, "29/11/2025") + COUNTIF(C119:C124, "29/11/2025")</f>
        <v/>
      </c>
    </row>
    <row r="12">
      <c r="E12" s="13" t="inlineStr">
        <is>
          <t>EMERGENCY - PAY OUT</t>
        </is>
      </c>
      <c r="F12" s="32">
        <f>F11*0.25</f>
        <v/>
      </c>
      <c r="G12" s="21" t="n"/>
      <c r="H12" s="34">
        <f>F12/1.12</f>
        <v/>
      </c>
      <c r="J12" t="inlineStr">
        <is>
          <t>Unsuccessful</t>
        </is>
      </c>
      <c r="K12">
        <f>COUNTIF(C137:C142, "24/11/2025") + COUNTIF(C146:C151, "24/11/2025")</f>
        <v/>
      </c>
      <c r="L12">
        <f>COUNTIF(C137:C142, "25/11/2025") + COUNTIF(C146:C151, "25/11/2025")</f>
        <v/>
      </c>
      <c r="M12">
        <f>COUNTIF(C137:C142, "26/11/2025") + COUNTIF(C146:C151, "26/11/2025")</f>
        <v/>
      </c>
      <c r="N12">
        <f>COUNTIF(C137:C142, "27/11/2025") + COUNTIF(C146:C151, "27/11/2025")</f>
        <v/>
      </c>
      <c r="O12">
        <f>COUNTIF(C137:C142, "28/11/2025") + COUNTIF(C146:C151, "28/11/2025")</f>
        <v/>
      </c>
      <c r="P12">
        <f>SUM(K12:O12)</f>
        <v/>
      </c>
      <c r="Q12">
        <f>COUNTIF(C137:C142, "29/11/2025") + COUNTIF(C146:C151, "29/11/2025")</f>
        <v/>
      </c>
    </row>
    <row r="13">
      <c r="E13" s="13" t="inlineStr">
        <is>
          <t>PREV. WEEK</t>
        </is>
      </c>
      <c r="F13" s="11" t="n">
        <v>0</v>
      </c>
      <c r="G13" s="40" t="n">
        <v>0</v>
      </c>
      <c r="J13" t="inlineStr">
        <is>
          <t>Success rate</t>
        </is>
      </c>
      <c r="K13" s="41">
        <f>K11/(K11+K12)</f>
        <v/>
      </c>
      <c r="L13" s="41">
        <f>L11/(L11+L12)</f>
        <v/>
      </c>
      <c r="M13" s="41">
        <f>M11/(M11+M12)</f>
        <v/>
      </c>
      <c r="N13" s="41">
        <f>N11/(N11+N12)</f>
        <v/>
      </c>
      <c r="O13" s="41">
        <f>O11/(O11+O12)</f>
        <v/>
      </c>
      <c r="P13" s="41">
        <f>P11/(P11+P12)</f>
        <v/>
      </c>
      <c r="Q13" s="41">
        <f>Q11/(Q11+Q12)</f>
        <v/>
      </c>
    </row>
    <row r="14">
      <c r="E14" s="7" t="inlineStr">
        <is>
          <t>PREV. WEEK - PAY OUT</t>
        </is>
      </c>
      <c r="F14" s="42">
        <f>F13*0.05</f>
        <v/>
      </c>
      <c r="G14" s="43">
        <f>=G13*0.05</f>
        <v/>
      </c>
      <c r="H14" s="34">
        <f>F14/1.12</f>
        <v/>
      </c>
      <c r="J14" t="inlineStr">
        <is>
          <t>Avg sale</t>
        </is>
      </c>
      <c r="K14" s="44">
        <f>K10/K11</f>
        <v/>
      </c>
      <c r="L14" s="44">
        <f>L10/L11</f>
        <v/>
      </c>
      <c r="M14" s="44">
        <f>M10/M11</f>
        <v/>
      </c>
      <c r="N14" s="44">
        <f>N10/N11</f>
        <v/>
      </c>
      <c r="O14" s="44">
        <f>O10/O11</f>
        <v/>
      </c>
      <c r="P14" s="44">
        <f>P10/P11</f>
        <v/>
      </c>
      <c r="Q14" s="44">
        <f>Q10/Q11</f>
        <v/>
      </c>
    </row>
    <row r="15">
      <c r="E15" s="45" t="inlineStr">
        <is>
          <t>5 Star Review</t>
        </is>
      </c>
      <c r="F15" s="32">
        <f>F16*50</f>
        <v/>
      </c>
    </row>
    <row r="16">
      <c r="E16" s="45" t="inlineStr">
        <is>
          <t>5 Star Notes</t>
        </is>
      </c>
      <c r="F16" s="11">
        <f>T4</f>
        <v/>
      </c>
      <c r="K16" s="46" t="inlineStr">
        <is>
          <t>Management Summary - SALES ONLY - COLUMN F</t>
        </is>
      </c>
      <c r="L16" s="47" t="n"/>
      <c r="M16" s="47" t="n"/>
      <c r="N16" s="47" t="n"/>
      <c r="O16" s="47" t="n"/>
      <c r="P16" s="47" t="n"/>
      <c r="Q16" s="47" t="n"/>
      <c r="R16" s="48" t="inlineStr">
        <is>
          <t>WEEKDAY</t>
        </is>
      </c>
      <c r="S16" s="49" t="inlineStr">
        <is>
          <t>WEEKEND</t>
        </is>
      </c>
    </row>
    <row r="17">
      <c r="K17" s="3" t="inlineStr">
        <is>
          <t>MON</t>
        </is>
      </c>
      <c r="L17" s="30" t="inlineStr">
        <is>
          <t>TUE</t>
        </is>
      </c>
      <c r="M17" s="30" t="inlineStr">
        <is>
          <t>WED</t>
        </is>
      </c>
      <c r="N17" s="30" t="inlineStr">
        <is>
          <t>THU</t>
        </is>
      </c>
      <c r="O17" s="30" t="inlineStr">
        <is>
          <t>FRI</t>
        </is>
      </c>
      <c r="P17" s="30" t="inlineStr">
        <is>
          <t>Total</t>
        </is>
      </c>
      <c r="Q17" s="31" t="inlineStr">
        <is>
          <t>SAT</t>
        </is>
      </c>
      <c r="R17" s="26" t="inlineStr">
        <is>
          <t>Awaiting Payment</t>
        </is>
      </c>
      <c r="S17" s="27" t="inlineStr">
        <is>
          <t>Awaiting Payment</t>
        </is>
      </c>
    </row>
    <row r="18">
      <c r="K18" s="35">
        <f>SUMIF(C29:C44, "24/11/2025", F29:F44) + SUMIF(C49:C54, "24/11/2025", F49:F54) + SUMIF(C83:C88, "24/11/2025", F83:F88) + SUMIF(C92:C97, "24/11/2025", F92:F97) + SUMIF(C110:C115, "24/11/2025", F110:F115) + SUMIF(C119:C124, "24/11/2025", F119:F124)</f>
        <v/>
      </c>
      <c r="L18" s="36">
        <f>SUMIF(C29:C44, "25/11/2025", F29:F44) + SUMIF(C49:C54, "25/11/2025", F49:F54) + SUMIF(C83:C88, "25/11/2025", F83:F88) + SUMIF(C92:C97, "25/11/2025", F92:F97) + SUMIF(C110:C115, "25/11/2025", F110:F115) + SUMIF(C119:C124, "25/11/2025", F119:F124)</f>
        <v/>
      </c>
      <c r="M18" s="36">
        <f>SUMIF(C29:C44, "26/11/2025", F29:F44) + SUMIF(C49:C54, "26/11/2025", F49:F54) + SUMIF(C83:C88, "26/11/2025", F83:F88) + SUMIF(C92:C97, "26/11/2025", F92:F97) + SUMIF(C110:C115, "26/11/2025", F110:F115) + SUMIF(C119:C124, "26/11/2025", F119:F124)</f>
        <v/>
      </c>
      <c r="N18" s="36">
        <f>SUMIF(C29:C44, "27/11/2025", F29:F44) + SUMIF(C49:C54, "27/11/2025", F49:F54) + SUMIF(C83:C88, "27/11/2025", F83:F88) + SUMIF(C92:C97, "27/11/2025", F92:F97) + SUMIF(C110:C115, "27/11/2025", F110:F115) + SUMIF(C119:C124, "27/11/2025", F119:F124)</f>
        <v/>
      </c>
      <c r="O18" s="36">
        <f>SUMIF(C29:C44, "28/11/2025", F29:F44) + SUMIF(C49:C54, "28/11/2025", F49:F54) + SUMIF(C83:C88, "28/11/2025", F83:F88) + SUMIF(C92:C97, "28/11/2025", F92:F97) + SUMIF(C110:C115, "28/11/2025", F110:F115) + SUMIF(C119:C124, "28/11/2025", F119:F124)</f>
        <v/>
      </c>
      <c r="P18" s="36">
        <f>SUM(K18:O18)</f>
        <v/>
      </c>
      <c r="Q18" s="37">
        <f>SUMIF(C29:C44, "29/11/2025", F29:F44) + SUMIF(C49:C54, "29/11/2025", F49:F54) + SUMIF(C83:C88, "29/11/2025", F83:F88) + SUMIF(C92:C97, "29/11/2025", F92:F97) + SUMIF(C110:C115, "29/11/2025", F110:F115) + SUMIF(C119:C124, "29/11/2025", F119:F124)</f>
        <v/>
      </c>
      <c r="R18" s="38">
        <f>SUM(F83:F88) + SUM(F110:F115)</f>
        <v/>
      </c>
      <c r="S18" s="39">
        <f>SUM(F92:F97) + SUM(F119:F124)</f>
        <v/>
      </c>
    </row>
    <row r="19">
      <c r="J19" t="inlineStr">
        <is>
          <t>Successful</t>
        </is>
      </c>
      <c r="K19">
        <f>K11</f>
        <v/>
      </c>
      <c r="L19">
        <f>L11</f>
        <v/>
      </c>
      <c r="M19">
        <f>M11</f>
        <v/>
      </c>
      <c r="N19">
        <f>N11</f>
        <v/>
      </c>
      <c r="O19">
        <f>O11</f>
        <v/>
      </c>
      <c r="P19">
        <f>P11</f>
        <v/>
      </c>
      <c r="Q19">
        <f>Q11</f>
        <v/>
      </c>
    </row>
    <row r="20">
      <c r="J20" t="inlineStr">
        <is>
          <t>Unsuccessful</t>
        </is>
      </c>
      <c r="K20">
        <f>K12</f>
        <v/>
      </c>
      <c r="L20">
        <f>L12</f>
        <v/>
      </c>
      <c r="M20">
        <f>M12</f>
        <v/>
      </c>
      <c r="N20">
        <f>N12</f>
        <v/>
      </c>
      <c r="O20">
        <f>O12</f>
        <v/>
      </c>
      <c r="P20">
        <f>P12</f>
        <v/>
      </c>
      <c r="Q20">
        <f>Q12</f>
        <v/>
      </c>
    </row>
    <row r="21">
      <c r="J21" t="inlineStr">
        <is>
          <t>Success rate</t>
        </is>
      </c>
      <c r="K21" s="41">
        <f>K13</f>
        <v/>
      </c>
      <c r="L21" s="41">
        <f>L13</f>
        <v/>
      </c>
      <c r="M21" s="41">
        <f>M13</f>
        <v/>
      </c>
      <c r="N21" s="41">
        <f>N13</f>
        <v/>
      </c>
      <c r="O21" s="41">
        <f>O13</f>
        <v/>
      </c>
      <c r="P21" s="41">
        <f>P13</f>
        <v/>
      </c>
      <c r="Q21" s="41">
        <f>Q13</f>
        <v/>
      </c>
    </row>
    <row r="22">
      <c r="J22" t="inlineStr">
        <is>
          <t>Avg sale</t>
        </is>
      </c>
      <c r="K22" s="44">
        <f>K18/K19</f>
        <v/>
      </c>
      <c r="L22" s="44">
        <f>L18/L19</f>
        <v/>
      </c>
      <c r="M22" s="44">
        <f>M18/M19</f>
        <v/>
      </c>
      <c r="N22" s="44">
        <f>N18/N19</f>
        <v/>
      </c>
      <c r="O22" s="44">
        <f>O18/O19</f>
        <v/>
      </c>
      <c r="P22" s="44">
        <f>P18/P19</f>
        <v/>
      </c>
      <c r="Q22" s="44">
        <f>Q18/Q19</f>
        <v/>
      </c>
    </row>
    <row r="26">
      <c r="B26" s="50" t="inlineStr">
        <is>
          <t>JOB DETAILS</t>
        </is>
      </c>
      <c r="C26" s="4" t="n"/>
      <c r="D26" s="4" t="n"/>
      <c r="E26" s="4" t="n"/>
      <c r="F26" s="50" t="inlineStr">
        <is>
          <t>JOB AMOUNT</t>
        </is>
      </c>
      <c r="G26" s="4" t="n"/>
      <c r="H26" s="4" t="n"/>
      <c r="I26" s="4" t="n"/>
      <c r="J26" s="4" t="n"/>
      <c r="K26" s="50" t="n"/>
      <c r="L26" s="50" t="inlineStr">
        <is>
          <t>PHOTOS</t>
        </is>
      </c>
      <c r="M26" s="4" t="n"/>
      <c r="N26" s="4" t="n"/>
      <c r="O26" s="50" t="inlineStr">
        <is>
          <t>QUOTE</t>
        </is>
      </c>
      <c r="P26" s="4" t="n"/>
      <c r="Q26" s="4" t="n"/>
      <c r="R26" s="50" t="inlineStr">
        <is>
          <t>INVOICE</t>
        </is>
      </c>
      <c r="S26" s="4" t="n"/>
      <c r="T26" s="4" t="n"/>
      <c r="U26" s="4" t="n"/>
      <c r="V26" s="5" t="inlineStr">
        <is>
          <t>NOTES</t>
        </is>
      </c>
    </row>
    <row r="27">
      <c r="B27" s="15" t="inlineStr">
        <is>
          <t>JOB STATUS</t>
        </is>
      </c>
      <c r="C27" s="16" t="inlineStr">
        <is>
          <t>DATE</t>
        </is>
      </c>
      <c r="D27" s="16" t="inlineStr">
        <is>
          <t>JOB #</t>
        </is>
      </c>
      <c r="E27" s="51" t="inlineStr">
        <is>
          <t>SUBURB</t>
        </is>
      </c>
      <c r="F27" s="16" t="inlineStr">
        <is>
          <t>AMOUNT EXC. GST</t>
        </is>
      </c>
      <c r="G27" s="16" t="inlineStr">
        <is>
          <t>MATERIALS</t>
        </is>
      </c>
      <c r="H27" s="16" t="inlineStr">
        <is>
          <t>MERCHANT FEES</t>
        </is>
      </c>
      <c r="I27" s="16" t="inlineStr">
        <is>
          <t>NET PROFIT</t>
        </is>
      </c>
      <c r="J27" s="51" t="inlineStr">
        <is>
          <t>PAID</t>
        </is>
      </c>
      <c r="K27" s="51" t="inlineStr">
        <is>
          <t>DOC CHECK DONE</t>
        </is>
      </c>
      <c r="L27" s="16" t="inlineStr">
        <is>
          <t>BEFORE</t>
        </is>
      </c>
      <c r="M27" s="16" t="inlineStr">
        <is>
          <t>AFTER</t>
        </is>
      </c>
      <c r="N27" s="51" t="inlineStr">
        <is>
          <t>RECEIPT</t>
        </is>
      </c>
      <c r="O27" s="16" t="inlineStr">
        <is>
          <t>DESCRIPTION</t>
        </is>
      </c>
      <c r="P27" s="16" t="inlineStr">
        <is>
          <t>SIGNED</t>
        </is>
      </c>
      <c r="Q27" s="51" t="inlineStr">
        <is>
          <t>EMAILED</t>
        </is>
      </c>
      <c r="R27" s="16" t="inlineStr">
        <is>
          <t>DESCRIPTION</t>
        </is>
      </c>
      <c r="S27" s="16" t="inlineStr">
        <is>
          <t>SIGNED</t>
        </is>
      </c>
      <c r="T27" s="51" t="inlineStr">
        <is>
          <t>EMAILED</t>
        </is>
      </c>
      <c r="U27" s="16" t="inlineStr">
        <is>
          <t>5 Star Review</t>
        </is>
      </c>
      <c r="V27" s="51" t="n"/>
      <c r="W27" s="52" t="inlineStr">
        <is>
          <t>EFTPOS</t>
        </is>
      </c>
      <c r="X27" s="52" t="inlineStr">
        <is>
          <t>CASH</t>
        </is>
      </c>
      <c r="Y27" s="52" t="inlineStr">
        <is>
          <t>Payment Plan</t>
        </is>
      </c>
    </row>
    <row r="28">
      <c r="B28" t="inlineStr">
        <is>
          <t>COMPLETED &amp; PAID JOBS</t>
        </is>
      </c>
      <c r="W28" s="52" t="n"/>
      <c r="X28" s="52" t="n"/>
      <c r="Y28" s="52" t="n"/>
    </row>
    <row r="29">
      <c r="B29" t="n">
        <v>1</v>
      </c>
      <c r="C29" t="inlineStr">
        <is>
          <t>24/11/2025</t>
        </is>
      </c>
      <c r="D29" t="n">
        <v>100185</v>
      </c>
      <c r="E29" t="inlineStr">
        <is>
          <t>Seaford</t>
        </is>
      </c>
      <c r="F29" s="44" t="n">
        <v>1217.66</v>
      </c>
      <c r="G29" s="44" t="n">
        <v>243.532</v>
      </c>
      <c r="I29" s="44">
        <f>F29-G29-H29</f>
        <v/>
      </c>
      <c r="J29" t="inlineStr">
        <is>
          <t>Credit Card</t>
        </is>
      </c>
      <c r="K29" s="53">
        <f>IF(OR(L29=0, M29=0, N29=0, O29=0, P29=0, Q29=0, R29=0, S29=0, T29=0), "N","Y")</f>
        <v/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s="54">
        <f>1205.43+134.00</f>
        <v/>
      </c>
      <c r="X29" s="52" t="n"/>
      <c r="Y29" s="52" t="n"/>
      <c r="Z29" s="55">
        <f>ROUND(F29*1.1,2)</f>
        <v/>
      </c>
      <c r="AA29" s="55">
        <f>ROUND(Z29 - W29 - X29 - Y29,2)</f>
        <v/>
      </c>
    </row>
    <row r="30">
      <c r="B30" t="n">
        <v>2</v>
      </c>
      <c r="C30" t="inlineStr">
        <is>
          <t>24/11/2025</t>
        </is>
      </c>
      <c r="D30" t="n">
        <v>100244</v>
      </c>
      <c r="E30" t="inlineStr">
        <is>
          <t>Seaford</t>
        </is>
      </c>
      <c r="F30" s="44" t="n">
        <v>3433</v>
      </c>
      <c r="G30" s="44" t="n">
        <v>686.6</v>
      </c>
      <c r="I30" s="44">
        <f>F30-G30-H30</f>
        <v/>
      </c>
      <c r="J30" t="inlineStr">
        <is>
          <t>Credit Card</t>
        </is>
      </c>
      <c r="K30" s="53">
        <f>IF(OR(L30=0, M30=0, N30=0, O30=0, P30=0, Q30=0, R30=0, S30=0, T30=0), "N","Y")</f>
        <v/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W30" s="54">
        <f>3398.67+377.63</f>
        <v/>
      </c>
      <c r="X30" s="52" t="n"/>
      <c r="Y30" s="52" t="n"/>
      <c r="Z30" s="55">
        <f>ROUND(F30*1.1,2)</f>
        <v/>
      </c>
      <c r="AA30" s="55">
        <f>ROUND(Z30 - W30 - X30 - Y30,2)</f>
        <v/>
      </c>
    </row>
    <row r="31">
      <c r="B31" t="n">
        <v>3</v>
      </c>
      <c r="C31" t="inlineStr">
        <is>
          <t>24/11/2025</t>
        </is>
      </c>
      <c r="D31" t="n">
        <v>100206</v>
      </c>
      <c r="E31" t="inlineStr">
        <is>
          <t>Noble Park North</t>
        </is>
      </c>
      <c r="F31" s="44" t="n">
        <v>36418.2</v>
      </c>
      <c r="G31" s="44" t="n">
        <v>7283.639999999999</v>
      </c>
      <c r="I31" s="44">
        <f>F31-G31-H31</f>
        <v/>
      </c>
      <c r="J31" t="inlineStr">
        <is>
          <t>Cash, Credit Card, EFT/Bank Transfer</t>
        </is>
      </c>
      <c r="K31" s="53">
        <f>IF(OR(L31=0, M31=0, N31=0, O31=0, P31=0, Q31=0, R31=0, S31=0, T31=0), "N","Y")</f>
        <v/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W31" s="54">
        <f>1000.00+1987.31+314.71</f>
        <v/>
      </c>
      <c r="X31" s="54">
        <f>36758.00</f>
        <v/>
      </c>
      <c r="Y31" s="52" t="n"/>
      <c r="Z31" s="55">
        <f>ROUND(F31*1.1,2)</f>
        <v/>
      </c>
      <c r="AA31" s="55">
        <f>ROUND(Z31 - W31 - X31 - Y31,2)</f>
        <v/>
      </c>
    </row>
    <row r="32">
      <c r="B32" t="n">
        <v>4</v>
      </c>
      <c r="C32" t="inlineStr">
        <is>
          <t>25/11/2025</t>
        </is>
      </c>
      <c r="D32" t="n">
        <v>100225</v>
      </c>
      <c r="E32" t="inlineStr">
        <is>
          <t>South Melbourne</t>
        </is>
      </c>
      <c r="F32" s="44" t="n">
        <v>2035</v>
      </c>
      <c r="G32" s="44" t="n">
        <v>407</v>
      </c>
      <c r="I32" s="44">
        <f>F32-G32-H32</f>
        <v/>
      </c>
      <c r="J32" t="inlineStr">
        <is>
          <t>Credit Card</t>
        </is>
      </c>
      <c r="K32" s="53">
        <f>IF(OR(L32=0, M32=0, N32=0, O32=0, P32=0, Q32=0, R32=0, S32=0, T32=0), "N","Y")</f>
        <v/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W32" s="54">
        <f>2015.50+223.00</f>
        <v/>
      </c>
      <c r="X32" s="52" t="n"/>
      <c r="Y32" s="52" t="n"/>
      <c r="Z32" s="55">
        <f>ROUND(F32*1.1,2)</f>
        <v/>
      </c>
      <c r="AA32" s="55">
        <f>ROUND(Z32 - W32 - X32 - Y32,2)</f>
        <v/>
      </c>
    </row>
    <row r="33">
      <c r="B33" t="n">
        <v>5</v>
      </c>
      <c r="C33" t="inlineStr">
        <is>
          <t>25/11/2025</t>
        </is>
      </c>
      <c r="D33" t="n">
        <v>100219</v>
      </c>
      <c r="E33" t="inlineStr">
        <is>
          <t>South Yarra</t>
        </is>
      </c>
      <c r="F33" s="44" t="n">
        <v>870.98</v>
      </c>
      <c r="G33" s="44" t="n">
        <v>174.196</v>
      </c>
      <c r="I33" s="44">
        <f>F33-G33-H33</f>
        <v/>
      </c>
      <c r="J33" t="inlineStr">
        <is>
          <t>Credit Card</t>
        </is>
      </c>
      <c r="K33" s="53">
        <f>IF(OR(L33=0, M33=0, N33=0, O33=0, P33=0, Q33=0, R33=0, S33=0, T33=0), "N","Y")</f>
        <v/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W33" s="54">
        <f>862.27+95.81</f>
        <v/>
      </c>
      <c r="X33" s="52" t="n"/>
      <c r="Y33" s="52" t="n"/>
      <c r="Z33" s="55">
        <f>ROUND(F33*1.1,2)</f>
        <v/>
      </c>
      <c r="AA33" s="55">
        <f>ROUND(Z33 - W33 - X33 - Y33,2)</f>
        <v/>
      </c>
    </row>
    <row r="34">
      <c r="B34" t="n">
        <v>6</v>
      </c>
      <c r="C34" t="inlineStr">
        <is>
          <t>26/11/2025</t>
        </is>
      </c>
      <c r="D34" t="n">
        <v>100222</v>
      </c>
      <c r="E34" t="inlineStr">
        <is>
          <t>Dandenong North</t>
        </is>
      </c>
      <c r="F34" s="44" t="n">
        <v>877</v>
      </c>
      <c r="G34" s="44" t="n">
        <v>175.4</v>
      </c>
      <c r="I34" s="44">
        <f>F34-G34-H34</f>
        <v/>
      </c>
      <c r="J34" t="inlineStr">
        <is>
          <t>Credit Card</t>
        </is>
      </c>
      <c r="K34" s="53">
        <f>IF(OR(L34=0, M34=0, N34=0, O34=0, P34=0, Q34=0, R34=0, S34=0, T34=0), "N","Y")</f>
        <v/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W34" s="54">
        <f>868.23+96.47</f>
        <v/>
      </c>
      <c r="X34" s="52" t="n"/>
      <c r="Y34" s="52" t="n"/>
      <c r="Z34" s="55">
        <f>ROUND(F34*1.1,2)</f>
        <v/>
      </c>
      <c r="AA34" s="55">
        <f>ROUND(Z34 - W34 - X34 - Y34,2)</f>
        <v/>
      </c>
    </row>
    <row r="35">
      <c r="B35" t="n">
        <v>7</v>
      </c>
      <c r="C35" t="inlineStr">
        <is>
          <t>26/11/2025</t>
        </is>
      </c>
      <c r="D35" t="n">
        <v>100266</v>
      </c>
      <c r="E35" t="inlineStr">
        <is>
          <t>Berwick</t>
        </is>
      </c>
      <c r="F35" s="44" t="n">
        <v>5814</v>
      </c>
      <c r="G35" s="44" t="n">
        <v>1162.8</v>
      </c>
      <c r="I35" s="44">
        <f>F35-G35-H35</f>
        <v/>
      </c>
      <c r="J35" t="inlineStr">
        <is>
          <t>Credit Card, EFT/Bank Transfer</t>
        </is>
      </c>
      <c r="K35" s="53">
        <f>IF(OR(L35=0, M35=0, N35=0, O35=0, P35=0, Q35=0, R35=0, S35=0, T35=0), "N","Y")</f>
        <v/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W35" s="54">
        <f>5000.00+755.86+639.54</f>
        <v/>
      </c>
      <c r="X35" s="52" t="n"/>
      <c r="Y35" s="52" t="n"/>
      <c r="Z35" s="55">
        <f>ROUND(F35*1.1,2)</f>
        <v/>
      </c>
      <c r="AA35" s="55">
        <f>ROUND(Z35 - W35 - X35 - Y35,2)</f>
        <v/>
      </c>
    </row>
    <row r="36">
      <c r="B36" t="n">
        <v>8</v>
      </c>
      <c r="C36" t="inlineStr">
        <is>
          <t>27/11/2025</t>
        </is>
      </c>
      <c r="D36" t="n">
        <v>100341</v>
      </c>
      <c r="E36" t="inlineStr">
        <is>
          <t>Clyde North</t>
        </is>
      </c>
      <c r="F36" s="44" t="n">
        <v>1371</v>
      </c>
      <c r="G36" s="44" t="n">
        <v>274.2</v>
      </c>
      <c r="I36" s="44">
        <f>F36-G36-H36</f>
        <v/>
      </c>
      <c r="J36" t="inlineStr">
        <is>
          <t>Credit Card</t>
        </is>
      </c>
      <c r="K36" s="53">
        <f>IF(OR(L36=0, M36=0, N36=0, O36=0, P36=0, Q36=0, R36=0, S36=0, T36=0), "N","Y")</f>
        <v/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W36" s="54">
        <f>1326.60+181.50</f>
        <v/>
      </c>
      <c r="X36" s="52" t="n"/>
      <c r="Y36" s="52" t="n"/>
      <c r="Z36" s="55">
        <f>ROUND(F36*1.1,2)</f>
        <v/>
      </c>
      <c r="AA36" s="55">
        <f>ROUND(Z36 - W36 - X36 - Y36,2)</f>
        <v/>
      </c>
    </row>
    <row r="37">
      <c r="B37" t="n">
        <v>9</v>
      </c>
      <c r="C37" t="inlineStr">
        <is>
          <t>28/11/2025</t>
        </is>
      </c>
      <c r="D37" t="n">
        <v>100362</v>
      </c>
      <c r="E37" t="inlineStr">
        <is>
          <t>Beaumaris</t>
        </is>
      </c>
      <c r="F37" s="44" t="n">
        <v>1134.9</v>
      </c>
      <c r="G37" s="44" t="n">
        <v>226.98</v>
      </c>
      <c r="I37" s="44">
        <f>F37-G37-H37</f>
        <v/>
      </c>
      <c r="J37" t="inlineStr">
        <is>
          <t>Credit Card</t>
        </is>
      </c>
      <c r="K37" s="53">
        <f>IF(OR(L37=0, M37=0, N37=0, O37=0, P37=0, Q37=0, R37=0, S37=0, T37=0), "N","Y")</f>
        <v/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W37" s="54">
        <f>1109.68+138.71</f>
        <v/>
      </c>
      <c r="X37" s="52" t="n"/>
      <c r="Y37" s="52" t="n"/>
      <c r="Z37" s="55">
        <f>ROUND(F37*1.1,2)</f>
        <v/>
      </c>
      <c r="AA37" s="55">
        <f>ROUND(Z37 - W37 - X37 - Y37,2)</f>
        <v/>
      </c>
    </row>
    <row r="38">
      <c r="B38" t="n">
        <v>10</v>
      </c>
      <c r="C38" t="inlineStr">
        <is>
          <t>28/11/2025</t>
        </is>
      </c>
      <c r="D38" t="n">
        <v>100367</v>
      </c>
      <c r="E38" t="inlineStr">
        <is>
          <t>Cranbourne</t>
        </is>
      </c>
      <c r="F38" s="44" t="n">
        <v>581</v>
      </c>
      <c r="G38" s="44" t="n">
        <v>116.2</v>
      </c>
      <c r="I38" s="44">
        <f>F38-G38-H38</f>
        <v/>
      </c>
      <c r="J38" t="inlineStr">
        <is>
          <t>Credit Card</t>
        </is>
      </c>
      <c r="K38" s="53">
        <f>IF(OR(L38=0, M38=0, N38=0, O38=0, P38=0, Q38=0, R38=0, S38=0, T38=0), "N","Y")</f>
        <v/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W38" s="54">
        <f>575.19+63.91</f>
        <v/>
      </c>
      <c r="X38" s="52" t="n"/>
      <c r="Y38" s="52" t="n"/>
      <c r="Z38" s="55">
        <f>ROUND(F38*1.1,2)</f>
        <v/>
      </c>
      <c r="AA38" s="55">
        <f>ROUND(Z38 - W38 - X38 - Y38,2)</f>
        <v/>
      </c>
    </row>
    <row r="39">
      <c r="B39" t="n">
        <v>11</v>
      </c>
      <c r="C39" t="inlineStr">
        <is>
          <t>28/11/2025</t>
        </is>
      </c>
      <c r="D39" t="n">
        <v>100388</v>
      </c>
      <c r="E39" t="inlineStr">
        <is>
          <t>Clyde North</t>
        </is>
      </c>
      <c r="F39" s="44" t="n">
        <v>861</v>
      </c>
      <c r="G39" s="44" t="n">
        <v>172.2</v>
      </c>
      <c r="I39" s="44">
        <f>F39-G39-H39</f>
        <v/>
      </c>
      <c r="J39" t="inlineStr">
        <is>
          <t>Credit Card</t>
        </is>
      </c>
      <c r="K39" s="53">
        <f>IF(OR(L39=0, M39=0, N39=0, O39=0, P39=0, Q39=0, R39=0, S39=0, T39=0), "N","Y")</f>
        <v/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W39" s="54">
        <f>852.39+94.71</f>
        <v/>
      </c>
      <c r="X39" s="52" t="n"/>
      <c r="Y39" s="52" t="n"/>
      <c r="Z39" s="55">
        <f>ROUND(F39*1.1,2)</f>
        <v/>
      </c>
      <c r="AA39" s="55">
        <f>ROUND(Z39 - W39 - X39 - Y39,2)</f>
        <v/>
      </c>
    </row>
    <row r="40">
      <c r="W40" s="52" t="n"/>
      <c r="X40" s="52" t="n"/>
      <c r="Y40" s="52" t="n"/>
    </row>
    <row r="41">
      <c r="W41" s="52" t="n"/>
      <c r="X41" s="52" t="n"/>
      <c r="Y41" s="52" t="n"/>
    </row>
    <row r="42">
      <c r="W42" s="52" t="n"/>
      <c r="X42" s="52" t="n"/>
      <c r="Y42" s="52" t="n"/>
    </row>
    <row r="43">
      <c r="W43" s="52" t="n"/>
      <c r="X43" s="52" t="n"/>
      <c r="Y43" s="52" t="n"/>
    </row>
    <row r="44">
      <c r="W44" s="52" t="n"/>
      <c r="X44" s="52" t="n"/>
      <c r="Y44" s="52" t="n"/>
    </row>
    <row r="45">
      <c r="F45" s="56">
        <f>SUM(F29:F44)</f>
        <v/>
      </c>
      <c r="G45" s="56">
        <f>SUM(G29:G44)</f>
        <v/>
      </c>
      <c r="H45" s="56">
        <f>SUM(H29:H44)</f>
        <v/>
      </c>
      <c r="I45" s="56">
        <f>SUM(I29:I44)</f>
        <v/>
      </c>
      <c r="L45">
        <f>COUNT(L29:L44)</f>
        <v/>
      </c>
      <c r="M45">
        <f>COUNT(M29:M44)</f>
        <v/>
      </c>
      <c r="N45">
        <f>COUNT(N29:N44)</f>
        <v/>
      </c>
      <c r="O45">
        <f>COUNT(O29:O44)</f>
        <v/>
      </c>
      <c r="P45">
        <f>COUNT(P29:P44)</f>
        <v/>
      </c>
      <c r="Q45">
        <f>COUNT(Q29:Q44)</f>
        <v/>
      </c>
      <c r="R45">
        <f>COUNT(R29:R44)</f>
        <v/>
      </c>
      <c r="S45">
        <f>COUNT(S29:S44)</f>
        <v/>
      </c>
      <c r="T45">
        <f>COUNT(T29:T44)</f>
        <v/>
      </c>
      <c r="U45">
        <f>COUNT(U29:U44)</f>
        <v/>
      </c>
      <c r="W45" s="52" t="n"/>
      <c r="X45" s="52" t="n"/>
      <c r="Y45" s="52" t="n"/>
    </row>
    <row r="46">
      <c r="L46">
        <f>SUM(L29:L44)</f>
        <v/>
      </c>
      <c r="M46">
        <f>SUM(M29:M44)</f>
        <v/>
      </c>
      <c r="N46">
        <f>SUM(N29:N44)</f>
        <v/>
      </c>
      <c r="O46">
        <f>SUM(O29:O44)</f>
        <v/>
      </c>
      <c r="P46">
        <f>SUM(P29:P44)</f>
        <v/>
      </c>
      <c r="Q46">
        <f>SUM(Q29:Q44)</f>
        <v/>
      </c>
      <c r="R46">
        <f>SUM(R29:R44)</f>
        <v/>
      </c>
      <c r="S46">
        <f>SUM(S29:S44)</f>
        <v/>
      </c>
      <c r="T46">
        <f>SUM(T29:T44)</f>
        <v/>
      </c>
      <c r="U46">
        <f>SUM(U29:U44)</f>
        <v/>
      </c>
      <c r="W46" s="52" t="n"/>
      <c r="X46" s="52" t="n"/>
      <c r="Y46" s="52" t="n"/>
    </row>
    <row r="47">
      <c r="W47" s="52" t="n"/>
      <c r="X47" s="52" t="n"/>
      <c r="Y47" s="52" t="n"/>
    </row>
    <row r="48">
      <c r="B48" t="inlineStr">
        <is>
          <t>WEEKEND COMPLETED &amp; PAID JOBS</t>
        </is>
      </c>
      <c r="W48" s="52" t="n"/>
      <c r="X48" s="52" t="n"/>
      <c r="Y48" s="52" t="n"/>
    </row>
    <row r="49">
      <c r="W49" s="52" t="n"/>
      <c r="X49" s="52" t="n"/>
      <c r="Y49" s="52" t="n"/>
    </row>
    <row r="50">
      <c r="W50" s="52" t="n"/>
      <c r="X50" s="52" t="n"/>
      <c r="Y50" s="52" t="n"/>
    </row>
    <row r="51">
      <c r="W51" s="52" t="n"/>
      <c r="X51" s="52" t="n"/>
      <c r="Y51" s="52" t="n"/>
    </row>
    <row r="52">
      <c r="W52" s="52" t="n"/>
      <c r="X52" s="52" t="n"/>
      <c r="Y52" s="52" t="n"/>
    </row>
    <row r="53">
      <c r="W53" s="52" t="n"/>
      <c r="X53" s="52" t="n"/>
      <c r="Y53" s="52" t="n"/>
    </row>
    <row r="54">
      <c r="W54" s="52" t="n"/>
      <c r="X54" s="52" t="n"/>
      <c r="Y54" s="52" t="n"/>
    </row>
    <row r="55">
      <c r="F55" s="56">
        <f>SUM(F49:F54)</f>
        <v/>
      </c>
      <c r="G55" s="56">
        <f>SUM(G49:G54)</f>
        <v/>
      </c>
      <c r="H55" s="56">
        <f>SUM(H49:H54)</f>
        <v/>
      </c>
      <c r="I55" s="56">
        <f>SUM(I49:I54)</f>
        <v/>
      </c>
      <c r="W55" s="52" t="n"/>
      <c r="X55" s="52" t="n"/>
      <c r="Y55" s="52" t="n"/>
    </row>
    <row r="56">
      <c r="W56" s="52" t="n"/>
      <c r="X56" s="52" t="n"/>
      <c r="Y56" s="52" t="n"/>
    </row>
    <row r="57">
      <c r="B57" t="inlineStr">
        <is>
          <t>AFTERHOURS COMPLETED &amp; PAID JOBS</t>
        </is>
      </c>
      <c r="W57" s="52" t="n"/>
      <c r="X57" s="52" t="n"/>
      <c r="Y57" s="52" t="n"/>
    </row>
    <row r="58">
      <c r="W58" s="52" t="n"/>
      <c r="X58" s="52" t="n"/>
      <c r="Y58" s="52" t="n"/>
    </row>
    <row r="59">
      <c r="W59" s="52" t="n"/>
      <c r="X59" s="52" t="n"/>
      <c r="Y59" s="52" t="n"/>
    </row>
    <row r="60">
      <c r="W60" s="52" t="n"/>
      <c r="X60" s="52" t="n"/>
      <c r="Y60" s="52" t="n"/>
    </row>
    <row r="61">
      <c r="W61" s="52" t="n"/>
      <c r="X61" s="52" t="n"/>
      <c r="Y61" s="52" t="n"/>
    </row>
    <row r="62">
      <c r="W62" s="52" t="n"/>
      <c r="X62" s="52" t="n"/>
      <c r="Y62" s="52" t="n"/>
    </row>
    <row r="63">
      <c r="W63" s="52" t="n"/>
      <c r="X63" s="52" t="n"/>
      <c r="Y63" s="52" t="n"/>
    </row>
    <row r="64">
      <c r="F64" s="56">
        <f>SUM(F58:F63)</f>
        <v/>
      </c>
      <c r="G64" s="56">
        <f>SUM(G58:G63)</f>
        <v/>
      </c>
      <c r="H64" s="56">
        <f>SUM(H58:H63)</f>
        <v/>
      </c>
      <c r="I64" s="56">
        <f>SUM(I58:I63)</f>
        <v/>
      </c>
      <c r="W64" s="52" t="n"/>
      <c r="X64" s="52" t="n"/>
      <c r="Y64" s="52" t="n"/>
    </row>
    <row r="65">
      <c r="W65" s="52" t="n"/>
      <c r="X65" s="52" t="n"/>
      <c r="Y65" s="52" t="n"/>
    </row>
    <row r="66">
      <c r="A66" s="57" t="n"/>
      <c r="B66" s="57" t="inlineStr">
        <is>
          <t>PREVIOUS JOBS COMPLETED &amp; PAID (COMMISSION) - Modoras Team Please do ADD to THIS SECTION or AMEND/TOUCH</t>
        </is>
      </c>
      <c r="C66" s="57" t="n"/>
      <c r="D66" s="57" t="n"/>
      <c r="E66" s="57" t="n"/>
      <c r="F66" s="57" t="n"/>
      <c r="G66" s="57" t="n"/>
      <c r="H66" s="57" t="n"/>
      <c r="I66" s="57" t="n"/>
      <c r="J66" s="57" t="n"/>
      <c r="K66" s="57" t="n"/>
      <c r="L66" s="57" t="n"/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8" t="n"/>
      <c r="X66" s="58" t="n"/>
      <c r="Y66" s="52" t="n"/>
    </row>
    <row r="67">
      <c r="A67" s="57" t="n"/>
      <c r="B67" s="57" t="n">
        <v>1</v>
      </c>
      <c r="C67" s="57" t="n"/>
      <c r="D67" s="57" t="n"/>
      <c r="E67" s="57" t="n"/>
      <c r="F67" s="57" t="n"/>
      <c r="G67" s="57" t="n"/>
      <c r="H67" s="57" t="n"/>
      <c r="I67" s="57" t="n"/>
      <c r="J67" s="57" t="n"/>
      <c r="K67" s="57" t="n"/>
      <c r="L67" s="57" t="n"/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8" t="n"/>
      <c r="X67" s="58" t="n"/>
      <c r="Y67" s="52" t="n"/>
    </row>
    <row r="68">
      <c r="A68" s="57" t="n"/>
      <c r="B68" s="57" t="n">
        <v>2</v>
      </c>
      <c r="C68" s="57" t="n"/>
      <c r="D68" s="57" t="n"/>
      <c r="E68" s="57" t="n"/>
      <c r="F68" s="57" t="n"/>
      <c r="G68" s="57" t="n"/>
      <c r="H68" s="57" t="n"/>
      <c r="I68" s="57" t="n"/>
      <c r="J68" s="57" t="n"/>
      <c r="K68" s="57" t="n"/>
      <c r="L68" s="57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8" t="n"/>
      <c r="X68" s="58" t="n"/>
      <c r="Y68" s="52" t="n"/>
    </row>
    <row r="69">
      <c r="A69" s="57" t="n"/>
      <c r="B69" s="57" t="n">
        <v>3</v>
      </c>
      <c r="C69" s="57" t="n"/>
      <c r="D69" s="57" t="n"/>
      <c r="E69" s="57" t="n"/>
      <c r="F69" s="57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8" t="n"/>
      <c r="X69" s="58" t="n"/>
      <c r="Y69" s="52" t="n"/>
    </row>
    <row r="70">
      <c r="A70" s="57" t="n"/>
      <c r="B70" s="57" t="n">
        <v>4</v>
      </c>
      <c r="C70" s="57" t="n"/>
      <c r="D70" s="57" t="n"/>
      <c r="E70" s="57" t="n"/>
      <c r="F70" s="57" t="n"/>
      <c r="G70" s="57" t="n"/>
      <c r="H70" s="57" t="n"/>
      <c r="I70" s="57" t="n"/>
      <c r="J70" s="57" t="n"/>
      <c r="K70" s="57" t="n"/>
      <c r="L70" s="57" t="n"/>
      <c r="M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8" t="n"/>
      <c r="X70" s="58" t="n"/>
      <c r="Y70" s="52" t="n"/>
    </row>
    <row r="71">
      <c r="A71" s="57" t="n"/>
      <c r="B71" s="57" t="n">
        <v>5</v>
      </c>
      <c r="C71" s="57" t="n"/>
      <c r="D71" s="57" t="n"/>
      <c r="E71" s="57" t="n"/>
      <c r="F71" s="57" t="n"/>
      <c r="G71" s="57" t="n"/>
      <c r="H71" s="57" t="n"/>
      <c r="I71" s="57" t="n"/>
      <c r="J71" s="57" t="n"/>
      <c r="K71" s="57" t="n"/>
      <c r="L71" s="57" t="n"/>
      <c r="M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8" t="n"/>
      <c r="X71" s="58" t="n"/>
      <c r="Y71" s="52" t="n"/>
    </row>
    <row r="72">
      <c r="A72" s="57" t="n"/>
      <c r="B72" s="57" t="n">
        <v>6</v>
      </c>
      <c r="C72" s="57" t="n"/>
      <c r="D72" s="57" t="n"/>
      <c r="E72" s="57" t="n"/>
      <c r="F72" s="57" t="n"/>
      <c r="G72" s="57" t="n"/>
      <c r="H72" s="57" t="n"/>
      <c r="I72" s="57" t="n"/>
      <c r="J72" s="57" t="n"/>
      <c r="K72" s="57" t="n"/>
      <c r="L72" s="57" t="n"/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8" t="n"/>
      <c r="X72" s="58" t="n"/>
      <c r="Y72" s="52" t="n"/>
    </row>
    <row r="73">
      <c r="A73" s="57" t="n"/>
      <c r="B73" s="57" t="n">
        <v>7</v>
      </c>
      <c r="C73" s="57" t="n"/>
      <c r="D73" s="57" t="n"/>
      <c r="E73" s="57" t="n"/>
      <c r="F73" s="57" t="n"/>
      <c r="G73" s="57" t="n"/>
      <c r="H73" s="57" t="n"/>
      <c r="I73" s="57" t="n"/>
      <c r="J73" s="57" t="n"/>
      <c r="K73" s="57" t="n"/>
      <c r="L73" s="57" t="n"/>
      <c r="M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8" t="n"/>
      <c r="X73" s="58" t="n"/>
      <c r="Y73" s="52" t="n"/>
    </row>
    <row r="74">
      <c r="A74" s="57" t="n"/>
      <c r="B74" s="57" t="n">
        <v>8</v>
      </c>
      <c r="C74" s="57" t="n"/>
      <c r="D74" s="57" t="n"/>
      <c r="E74" s="57" t="n"/>
      <c r="F74" s="57" t="n"/>
      <c r="G74" s="57" t="n"/>
      <c r="H74" s="57" t="n"/>
      <c r="I74" s="57" t="n"/>
      <c r="J74" s="57" t="n"/>
      <c r="K74" s="57" t="n"/>
      <c r="L74" s="57" t="n"/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8" t="n"/>
      <c r="X74" s="58" t="n"/>
      <c r="Y74" s="52" t="n"/>
    </row>
    <row r="75">
      <c r="W75" s="52" t="n"/>
      <c r="X75" s="52" t="n"/>
      <c r="Y75" s="52" t="n"/>
    </row>
    <row r="76">
      <c r="W76" s="52" t="n"/>
      <c r="X76" s="52" t="n"/>
      <c r="Y76" s="52" t="n"/>
    </row>
    <row r="77">
      <c r="W77" s="52" t="n"/>
      <c r="X77" s="52" t="n"/>
      <c r="Y77" s="52" t="n"/>
    </row>
    <row r="78">
      <c r="W78" s="52" t="n"/>
      <c r="X78" s="52" t="n"/>
      <c r="Y78" s="52" t="n"/>
    </row>
    <row r="79">
      <c r="W79" s="52" t="n"/>
      <c r="X79" s="52" t="n"/>
      <c r="Y79" s="52" t="n"/>
    </row>
    <row r="80">
      <c r="F80" s="56">
        <f>SUM(F67:F79)</f>
        <v/>
      </c>
      <c r="G80" s="56">
        <f>SUM(G67:G79)</f>
        <v/>
      </c>
      <c r="H80" s="56">
        <f>SUM(H67:H79)</f>
        <v/>
      </c>
      <c r="I80" s="56">
        <f>SUM(I67:I79)</f>
        <v/>
      </c>
      <c r="W80" s="52" t="n"/>
      <c r="X80" s="52" t="n"/>
      <c r="Y80" s="52" t="n"/>
    </row>
    <row r="81">
      <c r="W81" s="52" t="n"/>
      <c r="X81" s="52" t="n"/>
      <c r="Y81" s="52" t="n"/>
    </row>
    <row r="82">
      <c r="B82" s="59" t="inlineStr">
        <is>
          <t>CURRENT JOBS COMPLETED (AWAITING PAYMENT)</t>
        </is>
      </c>
      <c r="W82" s="52" t="n"/>
      <c r="X82" s="52" t="n"/>
      <c r="Y82" s="52" t="n"/>
    </row>
    <row r="83">
      <c r="B83" s="59" t="n">
        <v>1</v>
      </c>
      <c r="C83" s="59" t="inlineStr">
        <is>
          <t>26/11/2025</t>
        </is>
      </c>
      <c r="D83" s="59" t="n">
        <v>100313</v>
      </c>
      <c r="E83" s="59" t="inlineStr">
        <is>
          <t>Mornington</t>
        </is>
      </c>
      <c r="F83" s="60" t="n">
        <v>2796.98</v>
      </c>
      <c r="G83" s="60" t="n">
        <v>559.3960000000001</v>
      </c>
      <c r="I83" s="60">
        <f>F83-G83-H83</f>
        <v/>
      </c>
      <c r="J83" s="59" t="inlineStr">
        <is>
          <t>Credit Card, EFT/Bank Transfer</t>
        </is>
      </c>
      <c r="K83" s="61">
        <f>IF(OR(L83=0, M83=0, N83=0, O83=0, P83=0, Q83=0, R83=0, S83=0, T83=0), "N","Y")</f>
        <v/>
      </c>
      <c r="L83" s="59" t="n">
        <v>0</v>
      </c>
      <c r="M83" s="59" t="n">
        <v>0</v>
      </c>
      <c r="N83" s="59" t="n">
        <v>0</v>
      </c>
      <c r="O83" s="59" t="n">
        <v>0</v>
      </c>
      <c r="P83" s="59" t="n">
        <v>0</v>
      </c>
      <c r="Q83" s="59" t="n">
        <v>0</v>
      </c>
      <c r="R83" s="59" t="n">
        <v>0</v>
      </c>
      <c r="S83" s="59" t="n">
        <v>0</v>
      </c>
      <c r="T83" s="59" t="n">
        <v>0</v>
      </c>
      <c r="U83" s="59" t="n">
        <v>0</v>
      </c>
      <c r="W83" s="62">
        <f>2769.01+307.67</f>
        <v/>
      </c>
      <c r="X83" s="52" t="n"/>
      <c r="Y83" s="52" t="n"/>
      <c r="Z83" s="55">
        <f>ROUND(F83*1.1,2)</f>
        <v/>
      </c>
      <c r="AA83" s="55">
        <f>ROUND(Z83 - W83 - X83 - Y83,2)</f>
        <v/>
      </c>
    </row>
    <row r="84">
      <c r="W84" s="52" t="n"/>
      <c r="X84" s="52" t="n"/>
      <c r="Y84" s="52" t="n"/>
    </row>
    <row r="85">
      <c r="W85" s="52" t="n"/>
      <c r="X85" s="52" t="n"/>
      <c r="Y85" s="52" t="n"/>
    </row>
    <row r="86">
      <c r="W86" s="52" t="n"/>
      <c r="X86" s="52" t="n"/>
      <c r="Y86" s="52" t="n"/>
    </row>
    <row r="87">
      <c r="W87" s="52" t="n"/>
      <c r="X87" s="52" t="n"/>
      <c r="Y87" s="52" t="n"/>
    </row>
    <row r="88">
      <c r="W88" s="52" t="n"/>
      <c r="X88" s="52" t="n"/>
      <c r="Y88" s="52" t="n"/>
    </row>
    <row r="89">
      <c r="F89" s="56">
        <f>SUM(F83:F88)</f>
        <v/>
      </c>
      <c r="G89" s="56">
        <f>SUM(G83:G88)</f>
        <v/>
      </c>
      <c r="H89" s="56">
        <f>SUM(H83:H88)</f>
        <v/>
      </c>
      <c r="I89" s="56">
        <f>SUM(I83:I88)</f>
        <v/>
      </c>
      <c r="W89" s="52" t="n"/>
      <c r="X89" s="52" t="n"/>
      <c r="Y89" s="52" t="n"/>
    </row>
    <row r="90">
      <c r="W90" s="52" t="n"/>
      <c r="X90" s="52" t="n"/>
      <c r="Y90" s="52" t="n"/>
    </row>
    <row r="91">
      <c r="B91" s="59" t="inlineStr">
        <is>
          <t>WEEKEND CURRENT JOBS COMPLETED (AWAITING PAYMENT)</t>
        </is>
      </c>
      <c r="W91" s="52" t="n"/>
      <c r="X91" s="52" t="n"/>
      <c r="Y91" s="52" t="n"/>
    </row>
    <row r="92">
      <c r="W92" s="52" t="n"/>
      <c r="X92" s="52" t="n"/>
      <c r="Y92" s="52" t="n"/>
    </row>
    <row r="93">
      <c r="W93" s="52" t="n"/>
      <c r="X93" s="52" t="n"/>
      <c r="Y93" s="52" t="n"/>
    </row>
    <row r="94">
      <c r="W94" s="52" t="n"/>
      <c r="X94" s="52" t="n"/>
      <c r="Y94" s="52" t="n"/>
    </row>
    <row r="95">
      <c r="W95" s="52" t="n"/>
      <c r="X95" s="52" t="n"/>
      <c r="Y95" s="52" t="n"/>
    </row>
    <row r="96">
      <c r="W96" s="52" t="n"/>
      <c r="X96" s="52" t="n"/>
      <c r="Y96" s="52" t="n"/>
    </row>
    <row r="97">
      <c r="W97" s="52" t="n"/>
      <c r="X97" s="52" t="n"/>
      <c r="Y97" s="52" t="n"/>
    </row>
    <row r="98">
      <c r="F98" s="56">
        <f>SUM(F92:F97)</f>
        <v/>
      </c>
      <c r="G98" s="56">
        <f>SUM(G92:G97)</f>
        <v/>
      </c>
      <c r="H98" s="56">
        <f>SUM(H92:H97)</f>
        <v/>
      </c>
      <c r="I98" s="56">
        <f>SUM(I92:I97)</f>
        <v/>
      </c>
      <c r="W98" s="52" t="n"/>
      <c r="X98" s="52" t="n"/>
      <c r="Y98" s="52" t="n"/>
    </row>
    <row r="99">
      <c r="W99" s="52" t="n"/>
      <c r="X99" s="52" t="n"/>
      <c r="Y99" s="52" t="n"/>
    </row>
    <row r="100">
      <c r="B100" t="inlineStr">
        <is>
          <t>AFTERHOURS CURRENT JOBS COMPLETED (AWAITING PAYMENT)</t>
        </is>
      </c>
      <c r="W100" s="52" t="n"/>
      <c r="X100" s="52" t="n"/>
      <c r="Y100" s="52" t="n"/>
    </row>
    <row r="101">
      <c r="W101" s="52" t="n"/>
      <c r="X101" s="52" t="n"/>
      <c r="Y101" s="52" t="n"/>
    </row>
    <row r="102">
      <c r="W102" s="52" t="n"/>
      <c r="X102" s="52" t="n"/>
      <c r="Y102" s="52" t="n"/>
    </row>
    <row r="103">
      <c r="W103" s="52" t="n"/>
      <c r="X103" s="52" t="n"/>
      <c r="Y103" s="52" t="n"/>
    </row>
    <row r="104">
      <c r="W104" s="52" t="n"/>
      <c r="X104" s="52" t="n"/>
      <c r="Y104" s="52" t="n"/>
    </row>
    <row r="105">
      <c r="W105" s="52" t="n"/>
      <c r="X105" s="52" t="n"/>
      <c r="Y105" s="52" t="n"/>
    </row>
    <row r="106">
      <c r="W106" s="52" t="n"/>
      <c r="X106" s="52" t="n"/>
      <c r="Y106" s="52" t="n"/>
    </row>
    <row r="107">
      <c r="F107" s="56">
        <f>SUM(F101:F106)</f>
        <v/>
      </c>
      <c r="G107" s="56">
        <f>SUM(G101:G106)</f>
        <v/>
      </c>
      <c r="H107" s="56">
        <f>SUM(H101:H106)</f>
        <v/>
      </c>
      <c r="I107" s="56">
        <f>SUM(I101:I106)</f>
        <v/>
      </c>
      <c r="W107" s="52" t="n"/>
      <c r="X107" s="52" t="n"/>
      <c r="Y107" s="52" t="n"/>
    </row>
    <row r="108">
      <c r="W108" s="52" t="n"/>
      <c r="X108" s="52" t="n"/>
      <c r="Y108" s="52" t="n"/>
    </row>
    <row r="109">
      <c r="B109" s="59" t="inlineStr">
        <is>
          <t>CURRENT WORK ORDERS (AWAITING PAYMENT)</t>
        </is>
      </c>
      <c r="W109" s="52" t="n"/>
      <c r="X109" s="52" t="n"/>
      <c r="Y109" s="52" t="n"/>
    </row>
    <row r="110">
      <c r="B110" s="59" t="n">
        <v>1</v>
      </c>
      <c r="C110" s="59" t="inlineStr">
        <is>
          <t>28/11/2025</t>
        </is>
      </c>
      <c r="D110" s="59" t="n">
        <v>100406</v>
      </c>
      <c r="E110" s="59" t="inlineStr">
        <is>
          <t>Clyde North</t>
        </is>
      </c>
      <c r="F110" s="60" t="n">
        <v>2861</v>
      </c>
      <c r="G110" s="60" t="n">
        <v>572.2</v>
      </c>
      <c r="I110" s="60">
        <f>F110-G110-H110</f>
        <v/>
      </c>
      <c r="J110" s="59" t="inlineStr">
        <is>
          <t>Credit Card, EFT/Bank Transfer</t>
        </is>
      </c>
      <c r="K110" s="61">
        <f>IF(OR(L110=0, M110=0, N110=0, O110=0, P110=0, Q110=0, R110=0, S110=0, T110=0), "N","Y")</f>
        <v/>
      </c>
      <c r="L110" s="59" t="n">
        <v>0</v>
      </c>
      <c r="M110" s="59" t="n">
        <v>0</v>
      </c>
      <c r="N110" s="59" t="n">
        <v>0</v>
      </c>
      <c r="O110" s="59" t="n">
        <v>0</v>
      </c>
      <c r="P110" s="59" t="n">
        <v>0</v>
      </c>
      <c r="Q110" s="59" t="n">
        <v>0</v>
      </c>
      <c r="R110" s="59" t="n">
        <v>0</v>
      </c>
      <c r="S110" s="59" t="n">
        <v>0</v>
      </c>
      <c r="T110" s="59" t="n">
        <v>0</v>
      </c>
      <c r="U110" s="59" t="n">
        <v>0</v>
      </c>
      <c r="W110" s="62">
        <f>2832.39+314.71</f>
        <v/>
      </c>
      <c r="X110" s="52" t="n"/>
      <c r="Y110" s="52" t="n"/>
      <c r="Z110" s="55">
        <f>ROUND(F110*1.1,2)</f>
        <v/>
      </c>
      <c r="AA110" s="55">
        <f>ROUND(Z110 - W110 - X110 - Y110,2)</f>
        <v/>
      </c>
    </row>
    <row r="111">
      <c r="W111" s="52" t="n"/>
      <c r="X111" s="52" t="n"/>
      <c r="Y111" s="52" t="n"/>
    </row>
    <row r="112">
      <c r="W112" s="52" t="n"/>
      <c r="X112" s="52" t="n"/>
      <c r="Y112" s="52" t="n"/>
    </row>
    <row r="113">
      <c r="W113" s="52" t="n"/>
      <c r="X113" s="52" t="n"/>
      <c r="Y113" s="52" t="n"/>
    </row>
    <row r="114">
      <c r="W114" s="52" t="n"/>
      <c r="X114" s="52" t="n"/>
      <c r="Y114" s="52" t="n"/>
    </row>
    <row r="115">
      <c r="W115" s="52" t="n"/>
      <c r="X115" s="52" t="n"/>
      <c r="Y115" s="52" t="n"/>
    </row>
    <row r="116">
      <c r="F116" s="56">
        <f>SUM(F110:F115)</f>
        <v/>
      </c>
      <c r="G116" s="56">
        <f>SUM(G110:G115)</f>
        <v/>
      </c>
      <c r="H116" s="56">
        <f>SUM(H110:H115)</f>
        <v/>
      </c>
      <c r="I116" s="56">
        <f>SUM(I110:I115)</f>
        <v/>
      </c>
      <c r="W116" s="52" t="n"/>
      <c r="X116" s="52" t="n"/>
      <c r="Y116" s="52" t="n"/>
    </row>
    <row r="117">
      <c r="W117" s="52" t="n"/>
      <c r="X117" s="52" t="n"/>
      <c r="Y117" s="52" t="n"/>
    </row>
    <row r="118">
      <c r="B118" s="59" t="inlineStr">
        <is>
          <t>WEEKEND WORK ORDERS (AWAITING PAYMENT)</t>
        </is>
      </c>
      <c r="W118" s="52" t="n"/>
      <c r="X118" s="52" t="n"/>
      <c r="Y118" s="52" t="n"/>
    </row>
    <row r="119">
      <c r="W119" s="52" t="n"/>
      <c r="X119" s="52" t="n"/>
      <c r="Y119" s="52" t="n"/>
    </row>
    <row r="120">
      <c r="W120" s="52" t="n"/>
      <c r="X120" s="52" t="n"/>
      <c r="Y120" s="52" t="n"/>
    </row>
    <row r="121">
      <c r="W121" s="52" t="n"/>
      <c r="X121" s="52" t="n"/>
      <c r="Y121" s="52" t="n"/>
    </row>
    <row r="122">
      <c r="W122" s="52" t="n"/>
      <c r="X122" s="52" t="n"/>
      <c r="Y122" s="52" t="n"/>
    </row>
    <row r="123">
      <c r="W123" s="52" t="n"/>
      <c r="X123" s="52" t="n"/>
      <c r="Y123" s="52" t="n"/>
    </row>
    <row r="124">
      <c r="W124" s="52" t="n"/>
      <c r="X124" s="52" t="n"/>
      <c r="Y124" s="52" t="n"/>
    </row>
    <row r="125">
      <c r="F125" s="56">
        <f>SUM(F119:F124)</f>
        <v/>
      </c>
      <c r="G125" s="56">
        <f>SUM(G119:G124)</f>
        <v/>
      </c>
      <c r="H125" s="56">
        <f>SUM(H119:H124)</f>
        <v/>
      </c>
      <c r="I125" s="56">
        <f>SUM(I119:I124)</f>
        <v/>
      </c>
      <c r="W125" s="52" t="n"/>
      <c r="X125" s="52" t="n"/>
      <c r="Y125" s="52" t="n"/>
    </row>
    <row r="126">
      <c r="W126" s="52" t="n"/>
      <c r="X126" s="52" t="n"/>
      <c r="Y126" s="52" t="n"/>
    </row>
    <row r="127">
      <c r="B127" t="inlineStr">
        <is>
          <t>AFTERHOURS WORK ORDERS (AWAITING PAYMENT)</t>
        </is>
      </c>
      <c r="W127" s="52" t="n"/>
      <c r="X127" s="52" t="n"/>
      <c r="Y127" s="52" t="n"/>
    </row>
    <row r="128">
      <c r="W128" s="52" t="n"/>
      <c r="X128" s="52" t="n"/>
      <c r="Y128" s="52" t="n"/>
    </row>
    <row r="129">
      <c r="W129" s="52" t="n"/>
      <c r="X129" s="52" t="n"/>
      <c r="Y129" s="52" t="n"/>
    </row>
    <row r="130">
      <c r="W130" s="52" t="n"/>
      <c r="X130" s="52" t="n"/>
      <c r="Y130" s="52" t="n"/>
    </row>
    <row r="131">
      <c r="W131" s="52" t="n"/>
      <c r="X131" s="52" t="n"/>
      <c r="Y131" s="52" t="n"/>
    </row>
    <row r="132">
      <c r="W132" s="52" t="n"/>
      <c r="X132" s="52" t="n"/>
      <c r="Y132" s="52" t="n"/>
    </row>
    <row r="133">
      <c r="W133" s="52" t="n"/>
      <c r="X133" s="52" t="n"/>
      <c r="Y133" s="52" t="n"/>
    </row>
    <row r="134">
      <c r="F134" s="56">
        <f>SUM(F128:F133)</f>
        <v/>
      </c>
      <c r="G134" s="56">
        <f>SUM(G128:G133)</f>
        <v/>
      </c>
      <c r="H134" s="56">
        <f>SUM(H128:H133)</f>
        <v/>
      </c>
      <c r="I134" s="56">
        <f>SUM(I128:I133)</f>
        <v/>
      </c>
      <c r="W134" s="52" t="n"/>
      <c r="X134" s="52" t="n"/>
      <c r="Y134" s="52" t="n"/>
    </row>
    <row r="135">
      <c r="W135" s="52" t="n"/>
      <c r="X135" s="52" t="n"/>
      <c r="Y135" s="52" t="n"/>
    </row>
    <row r="136">
      <c r="B136" t="inlineStr">
        <is>
          <t>UNSUCCESSFUL JOBS</t>
        </is>
      </c>
      <c r="W136" s="52" t="n"/>
      <c r="X136" s="52" t="n"/>
      <c r="Y136" s="52" t="n"/>
    </row>
    <row r="137">
      <c r="W137" s="52" t="n"/>
      <c r="X137" s="52" t="n"/>
      <c r="Y137" s="52" t="n"/>
    </row>
    <row r="138">
      <c r="W138" s="52" t="n"/>
      <c r="X138" s="52" t="n"/>
      <c r="Y138" s="52" t="n"/>
    </row>
    <row r="139">
      <c r="W139" s="52" t="n"/>
      <c r="X139" s="52" t="n"/>
      <c r="Y139" s="52" t="n"/>
    </row>
    <row r="140">
      <c r="W140" s="52" t="n"/>
      <c r="X140" s="52" t="n"/>
      <c r="Y140" s="52" t="n"/>
    </row>
    <row r="141">
      <c r="W141" s="52" t="n"/>
      <c r="X141" s="52" t="n"/>
      <c r="Y141" s="52" t="n"/>
    </row>
    <row r="142">
      <c r="W142" s="52" t="n"/>
      <c r="X142" s="52" t="n"/>
      <c r="Y142" s="52" t="n"/>
    </row>
    <row r="143">
      <c r="F143" s="56">
        <f>SUM(F137:F142)</f>
        <v/>
      </c>
      <c r="G143" s="56">
        <f>SUM(G137:G142)</f>
        <v/>
      </c>
      <c r="H143" s="56">
        <f>SUM(H137:H142)</f>
        <v/>
      </c>
      <c r="I143" s="56">
        <f>SUM(I137:I142)</f>
        <v/>
      </c>
      <c r="W143" s="52" t="n"/>
      <c r="X143" s="52" t="n"/>
      <c r="Y143" s="52" t="n"/>
    </row>
    <row r="144">
      <c r="W144" s="52" t="n"/>
      <c r="X144" s="52" t="n"/>
      <c r="Y144" s="52" t="n"/>
    </row>
    <row r="145">
      <c r="B145" t="inlineStr">
        <is>
          <t>WEEKEND UNSUCCESSFUL JOBS</t>
        </is>
      </c>
      <c r="W145" s="52" t="n"/>
      <c r="X145" s="52" t="n"/>
      <c r="Y145" s="52" t="n"/>
    </row>
    <row r="146">
      <c r="W146" s="52" t="n"/>
      <c r="X146" s="52" t="n"/>
      <c r="Y146" s="52" t="n"/>
    </row>
    <row r="147">
      <c r="W147" s="52" t="n"/>
      <c r="X147" s="52" t="n"/>
      <c r="Y147" s="52" t="n"/>
    </row>
    <row r="148">
      <c r="W148" s="52" t="n"/>
      <c r="X148" s="52" t="n"/>
      <c r="Y148" s="52" t="n"/>
    </row>
    <row r="149">
      <c r="W149" s="52" t="n"/>
      <c r="X149" s="52" t="n"/>
      <c r="Y149" s="52" t="n"/>
    </row>
    <row r="150">
      <c r="W150" s="52" t="n"/>
      <c r="X150" s="52" t="n"/>
      <c r="Y150" s="52" t="n"/>
    </row>
    <row r="151">
      <c r="W151" s="52" t="n"/>
      <c r="X151" s="52" t="n"/>
      <c r="Y151" s="52" t="n"/>
    </row>
    <row r="152">
      <c r="F152" s="56">
        <f>SUM(F146:F151)</f>
        <v/>
      </c>
      <c r="G152" s="56">
        <f>SUM(G146:G151)</f>
        <v/>
      </c>
      <c r="H152" s="56">
        <f>SUM(H146:H151)</f>
        <v/>
      </c>
      <c r="I152" s="56">
        <f>SUM(I146:I151)</f>
        <v/>
      </c>
      <c r="W152" s="52" t="n"/>
      <c r="X152" s="52" t="n"/>
      <c r="Y152" s="52" t="n"/>
    </row>
    <row r="153">
      <c r="W153" s="52" t="n"/>
      <c r="X153" s="52" t="n"/>
      <c r="Y153" s="52" t="n"/>
    </row>
    <row r="154">
      <c r="B154" t="inlineStr">
        <is>
          <t>AFTERHOURS UNSUCCESSFUL JOBS</t>
        </is>
      </c>
      <c r="W154" s="52" t="n"/>
      <c r="X154" s="52" t="n"/>
      <c r="Y154" s="52" t="n"/>
    </row>
    <row r="155">
      <c r="W155" s="52" t="n"/>
      <c r="X155" s="52" t="n"/>
      <c r="Y155" s="52" t="n"/>
    </row>
    <row r="156">
      <c r="W156" s="52" t="n"/>
      <c r="X156" s="52" t="n"/>
      <c r="Y156" s="52" t="n"/>
    </row>
    <row r="157">
      <c r="W157" s="52" t="n"/>
      <c r="X157" s="52" t="n"/>
      <c r="Y157" s="52" t="n"/>
    </row>
    <row r="158">
      <c r="W158" s="52" t="n"/>
      <c r="X158" s="52" t="n"/>
      <c r="Y158" s="52" t="n"/>
    </row>
    <row r="159">
      <c r="W159" s="52" t="n"/>
      <c r="X159" s="52" t="n"/>
      <c r="Y159" s="52" t="n"/>
    </row>
    <row r="160">
      <c r="W160" s="52" t="n"/>
      <c r="X160" s="52" t="n"/>
      <c r="Y160" s="52" t="n"/>
    </row>
    <row r="161">
      <c r="F161" s="56">
        <f>SUM(F155:F160)</f>
        <v/>
      </c>
      <c r="G161" s="56">
        <f>SUM(G155:G160)</f>
        <v/>
      </c>
      <c r="H161" s="56">
        <f>SUM(H155:H160)</f>
        <v/>
      </c>
      <c r="I161" s="56">
        <f>SUM(I155:I160)</f>
        <v/>
      </c>
      <c r="W161" s="52" t="n"/>
      <c r="X161" s="52" t="n"/>
      <c r="Y161" s="52" t="n"/>
    </row>
    <row r="162">
      <c r="W162" s="52" t="n"/>
      <c r="X162" s="52" t="n"/>
      <c r="Y162" s="52" t="n"/>
    </row>
    <row r="163">
      <c r="B163" t="inlineStr">
        <is>
          <t>WEEK UNCATEGORISED</t>
        </is>
      </c>
      <c r="W163" s="52" t="n"/>
      <c r="X163" s="52" t="n"/>
      <c r="Y163" s="52" t="n"/>
    </row>
    <row r="164">
      <c r="W164" s="52" t="n"/>
      <c r="X164" s="52" t="n"/>
      <c r="Y164" s="52" t="n"/>
    </row>
    <row r="165">
      <c r="W165" s="52" t="n"/>
      <c r="X165" s="52" t="n"/>
      <c r="Y165" s="52" t="n"/>
    </row>
    <row r="166">
      <c r="W166" s="52" t="n"/>
      <c r="X166" s="52" t="n"/>
      <c r="Y166" s="52" t="n"/>
    </row>
    <row r="167">
      <c r="W167" s="52" t="n"/>
      <c r="X167" s="52" t="n"/>
      <c r="Y167" s="52" t="n"/>
    </row>
    <row r="168">
      <c r="W168" s="52" t="n"/>
      <c r="X168" s="52" t="n"/>
      <c r="Y168" s="52" t="n"/>
    </row>
    <row r="169">
      <c r="W169" s="52" t="n"/>
      <c r="X169" s="52" t="n"/>
      <c r="Y169" s="52" t="n"/>
    </row>
    <row r="170">
      <c r="F170" s="56">
        <f>SUM(F164:F169)</f>
        <v/>
      </c>
      <c r="G170" s="56">
        <f>SUM(G164:G169)</f>
        <v/>
      </c>
      <c r="H170" s="56">
        <f>SUM(H164:H169)</f>
        <v/>
      </c>
      <c r="I170" s="56">
        <f>SUM(I164:I169)</f>
        <v/>
      </c>
      <c r="W170" s="52" t="n"/>
      <c r="X170" s="52" t="n"/>
      <c r="Y170" s="52" t="n"/>
    </row>
    <row r="171">
      <c r="W171" s="52" t="n"/>
      <c r="X171" s="52" t="n"/>
      <c r="Y171" s="52" t="n"/>
    </row>
    <row r="172">
      <c r="B172" t="inlineStr">
        <is>
          <t>WEEKEND UNCATEGORISED</t>
        </is>
      </c>
      <c r="W172" s="52" t="n"/>
      <c r="X172" s="52" t="n"/>
      <c r="Y172" s="52" t="n"/>
    </row>
    <row r="173">
      <c r="W173" s="52" t="n"/>
      <c r="X173" s="52" t="n"/>
      <c r="Y173" s="52" t="n"/>
    </row>
    <row r="174">
      <c r="W174" s="52" t="n"/>
      <c r="X174" s="52" t="n"/>
      <c r="Y174" s="52" t="n"/>
    </row>
    <row r="175">
      <c r="W175" s="52" t="n"/>
      <c r="X175" s="52" t="n"/>
      <c r="Y175" s="52" t="n"/>
    </row>
    <row r="176">
      <c r="W176" s="52" t="n"/>
      <c r="X176" s="52" t="n"/>
      <c r="Y176" s="52" t="n"/>
    </row>
    <row r="177">
      <c r="W177" s="52" t="n"/>
      <c r="X177" s="52" t="n"/>
      <c r="Y177" s="52" t="n"/>
    </row>
    <row r="178">
      <c r="W178" s="52" t="n"/>
      <c r="X178" s="52" t="n"/>
      <c r="Y178" s="52" t="n"/>
    </row>
    <row r="179">
      <c r="F179" s="56">
        <f>SUM(F173:F178)</f>
        <v/>
      </c>
      <c r="G179" s="56">
        <f>SUM(G173:G178)</f>
        <v/>
      </c>
      <c r="H179" s="56">
        <f>SUM(H173:H178)</f>
        <v/>
      </c>
      <c r="I179" s="56">
        <f>SUM(I173:I178)</f>
        <v/>
      </c>
      <c r="W179" s="52" t="n"/>
      <c r="X179" s="52" t="n"/>
      <c r="Y179" s="52" t="n"/>
    </row>
    <row r="180">
      <c r="W180" s="52" t="n"/>
      <c r="X180" s="52" t="n"/>
      <c r="Y180" s="52" t="n"/>
    </row>
    <row r="181">
      <c r="B181" t="inlineStr">
        <is>
          <t>AFTERHOURS UNCATEGORISED</t>
        </is>
      </c>
      <c r="W181" s="52" t="n"/>
      <c r="X181" s="52" t="n"/>
      <c r="Y181" s="52" t="n"/>
    </row>
    <row r="182">
      <c r="W182" s="52" t="n"/>
      <c r="X182" s="52" t="n"/>
      <c r="Y182" s="52" t="n"/>
    </row>
    <row r="183">
      <c r="W183" s="52" t="n"/>
      <c r="X183" s="52" t="n"/>
      <c r="Y183" s="52" t="n"/>
    </row>
    <row r="184">
      <c r="W184" s="52" t="n"/>
      <c r="X184" s="52" t="n"/>
      <c r="Y184" s="52" t="n"/>
    </row>
    <row r="185">
      <c r="W185" s="52" t="n"/>
      <c r="X185" s="52" t="n"/>
      <c r="Y185" s="52" t="n"/>
    </row>
    <row r="186">
      <c r="W186" s="52" t="n"/>
      <c r="X186" s="52" t="n"/>
      <c r="Y186" s="52" t="n"/>
    </row>
    <row r="187">
      <c r="W187" s="52" t="n"/>
      <c r="X187" s="52" t="n"/>
      <c r="Y187" s="52" t="n"/>
    </row>
    <row r="188">
      <c r="F188" s="56">
        <f>SUM(F182:F187)</f>
        <v/>
      </c>
      <c r="G188" s="56">
        <f>SUM(G182:G187)</f>
        <v/>
      </c>
      <c r="H188" s="56">
        <f>SUM(H182:H187)</f>
        <v/>
      </c>
      <c r="I188" s="56">
        <f>SUM(I182:I187)</f>
        <v/>
      </c>
    </row>
  </sheetData>
  <conditionalFormatting sqref="K29:U44">
    <cfRule type="cellIs" priority="1" operator="equal" dxfId="0">
      <formula>0</formula>
    </cfRule>
  </conditionalFormatting>
  <conditionalFormatting sqref="K49:U54">
    <cfRule type="cellIs" priority="2" operator="equal" dxfId="0">
      <formula>0</formula>
    </cfRule>
  </conditionalFormatting>
  <conditionalFormatting sqref="K58:U63">
    <cfRule type="cellIs" priority="3" operator="equal" dxfId="0">
      <formula>0</formula>
    </cfRule>
  </conditionalFormatting>
  <conditionalFormatting sqref="K67:U79">
    <cfRule type="cellIs" priority="4" operator="equal" dxfId="0">
      <formula>0</formula>
    </cfRule>
  </conditionalFormatting>
  <conditionalFormatting sqref="K83:U88">
    <cfRule type="cellIs" priority="5" operator="equal" dxfId="0">
      <formula>0</formula>
    </cfRule>
  </conditionalFormatting>
  <conditionalFormatting sqref="K92:U97">
    <cfRule type="cellIs" priority="6" operator="equal" dxfId="0">
      <formula>0</formula>
    </cfRule>
  </conditionalFormatting>
  <conditionalFormatting sqref="K101:U106">
    <cfRule type="cellIs" priority="7" operator="equal" dxfId="0">
      <formula>0</formula>
    </cfRule>
  </conditionalFormatting>
  <conditionalFormatting sqref="K110:U115">
    <cfRule type="cellIs" priority="8" operator="equal" dxfId="0">
      <formula>0</formula>
    </cfRule>
  </conditionalFormatting>
  <conditionalFormatting sqref="K119:U124">
    <cfRule type="cellIs" priority="9" operator="equal" dxfId="0">
      <formula>0</formula>
    </cfRule>
  </conditionalFormatting>
  <conditionalFormatting sqref="K128:U133">
    <cfRule type="cellIs" priority="10" operator="equal" dxfId="0">
      <formula>0</formula>
    </cfRule>
  </conditionalFormatting>
  <conditionalFormatting sqref="K137:U142">
    <cfRule type="cellIs" priority="11" operator="equal" dxfId="0">
      <formula>0</formula>
    </cfRule>
  </conditionalFormatting>
  <conditionalFormatting sqref="K146:U151">
    <cfRule type="cellIs" priority="12" operator="equal" dxfId="0">
      <formula>0</formula>
    </cfRule>
  </conditionalFormatting>
  <conditionalFormatting sqref="K155:U160">
    <cfRule type="cellIs" priority="13" operator="equal" dxfId="0">
      <formula>0</formula>
    </cfRule>
  </conditionalFormatting>
  <conditionalFormatting sqref="K164:U169">
    <cfRule type="cellIs" priority="14" operator="equal" dxfId="0">
      <formula>0</formula>
    </cfRule>
  </conditionalFormatting>
  <conditionalFormatting sqref="K173:U178">
    <cfRule type="cellIs" priority="15" operator="equal" dxfId="0">
      <formula>0</formula>
    </cfRule>
  </conditionalFormatting>
  <conditionalFormatting sqref="K182:U187">
    <cfRule type="cellIs" priority="16" operator="equal" dxfId="0">
      <formula>0</formula>
    </cfRule>
  </conditionalFormatting>
  <conditionalFormatting sqref="I29:I54">
    <cfRule type="expression" priority="17" dxfId="1">
      <formula>$K29="N"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3da813"/>
    <outlinePr summaryBelow="1" summaryRight="1"/>
    <pageSetUpPr/>
  </sheetPr>
  <dimension ref="A1:AA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WEEKLY COMMISSION</t>
        </is>
      </c>
      <c r="F1" s="2" t="inlineStr">
        <is>
          <t>WEEK ENDING</t>
        </is>
      </c>
      <c r="G1" s="2" t="inlineStr">
        <is>
          <t>30/11/2025</t>
        </is>
      </c>
    </row>
    <row r="2">
      <c r="K2" s="3" t="inlineStr">
        <is>
          <t>PHOTOS</t>
        </is>
      </c>
      <c r="L2" s="4" t="n"/>
      <c r="M2" s="4" t="n"/>
      <c r="N2" s="3" t="inlineStr">
        <is>
          <t>QUOTE</t>
        </is>
      </c>
      <c r="O2" s="4" t="n"/>
      <c r="P2" s="4" t="n"/>
      <c r="Q2" s="3" t="inlineStr">
        <is>
          <t>INVOICE</t>
        </is>
      </c>
      <c r="R2" s="4" t="n"/>
      <c r="S2" s="5" t="n"/>
      <c r="T2" s="5" t="n"/>
    </row>
    <row r="3">
      <c r="B3" s="3" t="inlineStr">
        <is>
          <t>BOOKED JOBS</t>
        </is>
      </c>
      <c r="C3" s="6">
        <f>B4+B5</f>
        <v/>
      </c>
      <c r="E3" s="3" t="inlineStr">
        <is>
          <t>WEEKLY TARGET</t>
        </is>
      </c>
      <c r="F3" s="4" t="n"/>
      <c r="G3" s="5" t="n"/>
      <c r="K3" s="7" t="inlineStr">
        <is>
          <t>BEFORE</t>
        </is>
      </c>
      <c r="L3" s="8" t="inlineStr">
        <is>
          <t>AFTER</t>
        </is>
      </c>
      <c r="M3" s="8" t="inlineStr">
        <is>
          <t>RECEIPT</t>
        </is>
      </c>
      <c r="N3" s="7" t="inlineStr">
        <is>
          <t>DESCRIPTION</t>
        </is>
      </c>
      <c r="O3" s="8" t="inlineStr">
        <is>
          <t>SIGNED</t>
        </is>
      </c>
      <c r="P3" s="8" t="inlineStr">
        <is>
          <t>EMAILED</t>
        </is>
      </c>
      <c r="Q3" s="7" t="inlineStr">
        <is>
          <t>DESCRIPTION</t>
        </is>
      </c>
      <c r="R3" s="8" t="inlineStr">
        <is>
          <t>SIGNED</t>
        </is>
      </c>
      <c r="S3" s="8" t="inlineStr">
        <is>
          <t>EMAILED</t>
        </is>
      </c>
      <c r="T3" s="9" t="inlineStr">
        <is>
          <t>5 Star Review</t>
        </is>
      </c>
    </row>
    <row r="4">
      <c r="B4" s="1" t="inlineStr">
        <is>
          <t>SUCCESSFUL</t>
        </is>
      </c>
      <c r="C4" s="10">
        <f>O11</f>
        <v/>
      </c>
      <c r="E4" s="11" t="inlineStr">
        <is>
          <t>Tier 1</t>
        </is>
      </c>
      <c r="F4" t="inlineStr">
        <is>
          <t>&lt;$25000</t>
        </is>
      </c>
      <c r="G4" s="12">
        <f>0.05</f>
        <v/>
      </c>
      <c r="J4" s="3" t="inlineStr">
        <is>
          <t>TAKEN</t>
        </is>
      </c>
      <c r="K4" s="13">
        <f>L40</f>
        <v/>
      </c>
      <c r="L4" s="13">
        <f>M40</f>
        <v/>
      </c>
      <c r="M4" s="13">
        <f>N40</f>
        <v/>
      </c>
      <c r="N4" s="13">
        <f>O40</f>
        <v/>
      </c>
      <c r="O4" s="13">
        <f>P40</f>
        <v/>
      </c>
      <c r="P4" s="13">
        <f>Q40</f>
        <v/>
      </c>
      <c r="Q4" s="13">
        <f>R40</f>
        <v/>
      </c>
      <c r="R4" s="13">
        <f>S40</f>
        <v/>
      </c>
      <c r="S4" s="13">
        <f>T40</f>
        <v/>
      </c>
      <c r="T4" s="14">
        <f>SUM(U29:U38) + SUM(U43:U48) + SUM(U77:U83) + SUM(U87:U92) + SUM(U105:U111) + SUM(U115:U120)</f>
        <v/>
      </c>
    </row>
    <row r="5">
      <c r="B5" s="1" t="inlineStr">
        <is>
          <t>UNSUCCESSFUL</t>
        </is>
      </c>
      <c r="C5" s="10">
        <f>O12</f>
        <v/>
      </c>
      <c r="E5" s="15" t="inlineStr">
        <is>
          <t>Tier 2</t>
        </is>
      </c>
      <c r="F5" s="16" t="inlineStr">
        <is>
          <t>&gt;=$25000</t>
        </is>
      </c>
      <c r="G5" s="17">
        <f>0.1</f>
        <v/>
      </c>
      <c r="J5" s="7" t="inlineStr">
        <is>
          <t>%</t>
        </is>
      </c>
      <c r="K5" s="18">
        <f>L40/L39</f>
        <v/>
      </c>
      <c r="L5" s="18">
        <f>M40/M39</f>
        <v/>
      </c>
      <c r="M5" s="18">
        <f>N40/N39</f>
        <v/>
      </c>
      <c r="N5" s="18">
        <f>O40/O39</f>
        <v/>
      </c>
      <c r="O5" s="18">
        <f>P40/P39</f>
        <v/>
      </c>
      <c r="P5" s="18">
        <f>Q40/Q39</f>
        <v/>
      </c>
      <c r="Q5" s="18">
        <f>R40/R39</f>
        <v/>
      </c>
      <c r="R5" s="18">
        <f>S40/S39</f>
        <v/>
      </c>
      <c r="S5" s="18">
        <f>T40/T39</f>
        <v/>
      </c>
      <c r="T5" s="19" t="n"/>
    </row>
    <row r="6">
      <c r="B6" s="1" t="inlineStr">
        <is>
          <t>SUCCESSFUL (%)</t>
        </is>
      </c>
      <c r="C6" s="20">
        <f>O13</f>
        <v/>
      </c>
    </row>
    <row r="7">
      <c r="C7" s="21" t="n"/>
      <c r="F7" s="3" t="inlineStr">
        <is>
          <t>ACTUAL</t>
        </is>
      </c>
      <c r="G7" s="6" t="inlineStr">
        <is>
          <t>POTENTIAL</t>
        </is>
      </c>
      <c r="H7" s="22" t="inlineStr">
        <is>
          <t>Exc. SUPER</t>
        </is>
      </c>
    </row>
    <row r="8">
      <c r="B8" s="7" t="inlineStr">
        <is>
          <t>AVERAGE SALE</t>
        </is>
      </c>
      <c r="C8" s="23">
        <f>O14</f>
        <v/>
      </c>
      <c r="E8" s="3" t="inlineStr">
        <is>
          <t>NET PROFIT</t>
        </is>
      </c>
      <c r="F8" s="24">
        <f>P10-R10</f>
        <v/>
      </c>
      <c r="G8" s="25">
        <f>SUM(I29:I38) + SUM(I77:I83) + SUM(I105:I111) + SUM(I133:I138)</f>
        <v/>
      </c>
      <c r="K8" s="3" t="inlineStr">
        <is>
          <t>DAILY NET PROFIT</t>
        </is>
      </c>
      <c r="L8" s="4" t="n"/>
      <c r="M8" s="4" t="n"/>
      <c r="N8" s="4" t="n"/>
      <c r="O8" s="4" t="n"/>
      <c r="P8" s="4" t="n"/>
      <c r="Q8" s="4" t="n"/>
      <c r="R8" s="26" t="inlineStr">
        <is>
          <t>WEEKDAY</t>
        </is>
      </c>
      <c r="S8" s="27" t="inlineStr">
        <is>
          <t>WEEKEND</t>
        </is>
      </c>
    </row>
    <row r="9">
      <c r="E9" s="13" t="inlineStr">
        <is>
          <t>UNLOCKED</t>
        </is>
      </c>
      <c r="F9" s="28">
        <f>IF(P10&gt;=25000,G5,G4)</f>
        <v/>
      </c>
      <c r="G9" s="29">
        <f>=IF(G8&gt;=25000,G5,G4)</f>
        <v/>
      </c>
      <c r="K9" s="3" t="inlineStr">
        <is>
          <t>MON</t>
        </is>
      </c>
      <c r="L9" s="30" t="inlineStr">
        <is>
          <t>TUE</t>
        </is>
      </c>
      <c r="M9" s="30" t="inlineStr">
        <is>
          <t>WED</t>
        </is>
      </c>
      <c r="N9" s="30" t="inlineStr">
        <is>
          <t>THU</t>
        </is>
      </c>
      <c r="O9" s="30" t="inlineStr">
        <is>
          <t>FRI</t>
        </is>
      </c>
      <c r="P9" s="30" t="inlineStr">
        <is>
          <t>Total</t>
        </is>
      </c>
      <c r="Q9" s="31" t="inlineStr">
        <is>
          <t>SAT</t>
        </is>
      </c>
      <c r="R9" s="26" t="inlineStr">
        <is>
          <t>Awaiting Payment</t>
        </is>
      </c>
      <c r="S9" s="27" t="inlineStr">
        <is>
          <t>Awaiting Payment</t>
        </is>
      </c>
    </row>
    <row r="10">
      <c r="E10" s="13" t="inlineStr">
        <is>
          <t>COMMISSION - PAY OUT</t>
        </is>
      </c>
      <c r="F10" s="32">
        <f>F8*F9</f>
        <v/>
      </c>
      <c r="G10" s="33">
        <f>G8*G9</f>
        <v/>
      </c>
      <c r="H10" s="34">
        <f>F10/1.12</f>
        <v/>
      </c>
      <c r="K10" s="35">
        <f>SUMIF(C29:C38, "24/11/2025", I29:I38) + SUMIF(C43:C48, "24/11/2025", I43:I48) + SUMIF(C77:C83, "24/11/2025", I77:I83) + SUMIF(C87:C92, "24/11/2025", I87:I92) + SUMIF(C105:C111, "24/11/2025", I105:I111) + SUMIF(C115:C120, "24/11/2025", I115:I120)</f>
        <v/>
      </c>
      <c r="L10" s="36">
        <f>SUMIF(C29:C38, "25/11/2025", I29:I38) + SUMIF(C43:C48, "25/11/2025", I43:I48) + SUMIF(C77:C83, "25/11/2025", I77:I83) + SUMIF(C87:C92, "25/11/2025", I87:I92) + SUMIF(C105:C111, "25/11/2025", I105:I111) + SUMIF(C115:C120, "25/11/2025", I115:I120)</f>
        <v/>
      </c>
      <c r="M10" s="36">
        <f>SUMIF(C29:C38, "26/11/2025", I29:I38) + SUMIF(C43:C48, "26/11/2025", I43:I48) + SUMIF(C77:C83, "26/11/2025", I77:I83) + SUMIF(C87:C92, "26/11/2025", I87:I92) + SUMIF(C105:C111, "26/11/2025", I105:I111) + SUMIF(C115:C120, "26/11/2025", I115:I120)</f>
        <v/>
      </c>
      <c r="N10" s="36">
        <f>SUMIF(C29:C38, "27/11/2025", I29:I38) + SUMIF(C43:C48, "27/11/2025", I43:I48) + SUMIF(C77:C83, "27/11/2025", I77:I83) + SUMIF(C87:C92, "27/11/2025", I87:I92) + SUMIF(C105:C111, "27/11/2025", I105:I111) + SUMIF(C115:C120, "27/11/2025", I115:I120)</f>
        <v/>
      </c>
      <c r="O10" s="36">
        <f>SUMIF(C29:C38, "28/11/2025", I29:I38) + SUMIF(C43:C48, "28/11/2025", I43:I48) + SUMIF(C77:C83, "28/11/2025", I77:I83) + SUMIF(C87:C92, "28/11/2025", I87:I92) + SUMIF(C105:C111, "28/11/2025", I105:I111) + SUMIF(C115:C120, "28/11/2025", I115:I120)</f>
        <v/>
      </c>
      <c r="P10" s="36">
        <f>SUM(J10:N10)</f>
        <v/>
      </c>
      <c r="Q10" s="37">
        <f>SUMIF(C29:C38, "29/11/2025", I29:I38) + SUMIF(C43:C48, "29/11/2025", I43:I48) + SUMIF(C77:C83, "29/11/2025", I77:I83) + SUMIF(C87:C92, "29/11/2025", I87:I92) + SUMIF(C105:C111, "29/11/2025", I105:I111) + SUMIF(C115:C120, "29/11/2025", I115:I120)</f>
        <v/>
      </c>
      <c r="R10" s="38">
        <f>SUM(I77:I83) + SUM(I105:I111)</f>
        <v/>
      </c>
      <c r="S10" s="39">
        <f>SUM(I87:I92) + SUM(I115:I120)</f>
        <v/>
      </c>
    </row>
    <row r="11">
      <c r="E11" s="13" t="inlineStr">
        <is>
          <t>EMERGENCY</t>
        </is>
      </c>
      <c r="F11" s="32">
        <f>P10</f>
        <v/>
      </c>
      <c r="G11" s="21" t="n"/>
      <c r="J11" t="inlineStr">
        <is>
          <t>Successful</t>
        </is>
      </c>
      <c r="K11">
        <f>COUNTIF(C29:C38, "24/11/2025") + COUNTIF(C43:C48, "24/11/2025") + COUNTIF(C77:C83, "24/11/2025") + COUNTIF(C87:C92, "24/11/2025") + COUNTIF(C105:C111, "24/11/2025") + COUNTIF(C115:C120, "24/11/2025")</f>
        <v/>
      </c>
      <c r="L11">
        <f>COUNTIF(C29:C38, "25/11/2025") + COUNTIF(C43:C48, "25/11/2025") + COUNTIF(C77:C83, "25/11/2025") + COUNTIF(C87:C92, "25/11/2025") + COUNTIF(C105:C111, "25/11/2025") + COUNTIF(C115:C120, "25/11/2025")</f>
        <v/>
      </c>
      <c r="M11">
        <f>COUNTIF(C29:C38, "26/11/2025") + COUNTIF(C43:C48, "26/11/2025") + COUNTIF(C77:C83, "26/11/2025") + COUNTIF(C87:C92, "26/11/2025") + COUNTIF(C105:C111, "26/11/2025") + COUNTIF(C115:C120, "26/11/2025")</f>
        <v/>
      </c>
      <c r="N11">
        <f>COUNTIF(C29:C38, "27/11/2025") + COUNTIF(C43:C48, "27/11/2025") + COUNTIF(C77:C83, "27/11/2025") + COUNTIF(C87:C92, "27/11/2025") + COUNTIF(C105:C111, "27/11/2025") + COUNTIF(C115:C120, "27/11/2025")</f>
        <v/>
      </c>
      <c r="O11">
        <f>COUNTIF(C29:C38, "28/11/2025") + COUNTIF(C43:C48, "28/11/2025") + COUNTIF(C77:C83, "28/11/2025") + COUNTIF(C87:C92, "28/11/2025") + COUNTIF(C105:C111, "28/11/2025") + COUNTIF(C115:C120, "28/11/2025")</f>
        <v/>
      </c>
      <c r="P11">
        <f>SUM(K11:O11)</f>
        <v/>
      </c>
      <c r="Q11">
        <f>COUNTIF(C29:C38, "29/11/2025") + COUNTIF(C43:C48, "29/11/2025") + COUNTIF(C77:C83, "29/11/2025") + COUNTIF(C87:C92, "29/11/2025") + COUNTIF(C105:C111, "29/11/2025") + COUNTIF(C115:C120, "29/11/2025")</f>
        <v/>
      </c>
    </row>
    <row r="12">
      <c r="E12" s="13" t="inlineStr">
        <is>
          <t>EMERGENCY - PAY OUT</t>
        </is>
      </c>
      <c r="F12" s="32">
        <f>F11*0.25</f>
        <v/>
      </c>
      <c r="G12" s="21" t="n"/>
      <c r="H12" s="34">
        <f>F12/1.12</f>
        <v/>
      </c>
      <c r="J12" t="inlineStr">
        <is>
          <t>Unsuccessful</t>
        </is>
      </c>
      <c r="K12">
        <f>COUNTIF(C133:C138, "24/11/2025") + COUNTIF(C142:C147, "24/11/2025")</f>
        <v/>
      </c>
      <c r="L12">
        <f>COUNTIF(C133:C138, "25/11/2025") + COUNTIF(C142:C147, "25/11/2025")</f>
        <v/>
      </c>
      <c r="M12">
        <f>COUNTIF(C133:C138, "26/11/2025") + COUNTIF(C142:C147, "26/11/2025")</f>
        <v/>
      </c>
      <c r="N12">
        <f>COUNTIF(C133:C138, "27/11/2025") + COUNTIF(C142:C147, "27/11/2025")</f>
        <v/>
      </c>
      <c r="O12">
        <f>COUNTIF(C133:C138, "28/11/2025") + COUNTIF(C142:C147, "28/11/2025")</f>
        <v/>
      </c>
      <c r="P12">
        <f>SUM(K12:O12)</f>
        <v/>
      </c>
      <c r="Q12">
        <f>COUNTIF(C133:C138, "29/11/2025") + COUNTIF(C142:C147, "29/11/2025")</f>
        <v/>
      </c>
    </row>
    <row r="13">
      <c r="E13" s="13" t="inlineStr">
        <is>
          <t>PREV. WEEK</t>
        </is>
      </c>
      <c r="F13" s="11" t="n">
        <v>0</v>
      </c>
      <c r="G13" s="40" t="n">
        <v>0</v>
      </c>
      <c r="J13" t="inlineStr">
        <is>
          <t>Success rate</t>
        </is>
      </c>
      <c r="K13" s="41">
        <f>K11/(K11+K12)</f>
        <v/>
      </c>
      <c r="L13" s="41">
        <f>L11/(L11+L12)</f>
        <v/>
      </c>
      <c r="M13" s="41">
        <f>M11/(M11+M12)</f>
        <v/>
      </c>
      <c r="N13" s="41">
        <f>N11/(N11+N12)</f>
        <v/>
      </c>
      <c r="O13" s="41">
        <f>O11/(O11+O12)</f>
        <v/>
      </c>
      <c r="P13" s="41">
        <f>P11/(P11+P12)</f>
        <v/>
      </c>
      <c r="Q13" s="41">
        <f>Q11/(Q11+Q12)</f>
        <v/>
      </c>
    </row>
    <row r="14">
      <c r="E14" s="7" t="inlineStr">
        <is>
          <t>PREV. WEEK - PAY OUT</t>
        </is>
      </c>
      <c r="F14" s="42">
        <f>F13*0.05</f>
        <v/>
      </c>
      <c r="G14" s="43">
        <f>=G13*0.05</f>
        <v/>
      </c>
      <c r="H14" s="34">
        <f>F14/1.12</f>
        <v/>
      </c>
      <c r="J14" t="inlineStr">
        <is>
          <t>Avg sale</t>
        </is>
      </c>
      <c r="K14" s="44">
        <f>K10/K11</f>
        <v/>
      </c>
      <c r="L14" s="44">
        <f>L10/L11</f>
        <v/>
      </c>
      <c r="M14" s="44">
        <f>M10/M11</f>
        <v/>
      </c>
      <c r="N14" s="44">
        <f>N10/N11</f>
        <v/>
      </c>
      <c r="O14" s="44">
        <f>O10/O11</f>
        <v/>
      </c>
      <c r="P14" s="44">
        <f>P10/P11</f>
        <v/>
      </c>
      <c r="Q14" s="44">
        <f>Q10/Q11</f>
        <v/>
      </c>
    </row>
    <row r="15">
      <c r="E15" s="45" t="inlineStr">
        <is>
          <t>5 Star Review</t>
        </is>
      </c>
      <c r="F15" s="32">
        <f>F16*50</f>
        <v/>
      </c>
    </row>
    <row r="16">
      <c r="E16" s="45" t="inlineStr">
        <is>
          <t>5 Star Notes</t>
        </is>
      </c>
      <c r="F16" s="11">
        <f>T4</f>
        <v/>
      </c>
      <c r="K16" s="46" t="inlineStr">
        <is>
          <t>Management Summary - SALES ONLY - COLUMN F</t>
        </is>
      </c>
      <c r="L16" s="47" t="n"/>
      <c r="M16" s="47" t="n"/>
      <c r="N16" s="47" t="n"/>
      <c r="O16" s="47" t="n"/>
      <c r="P16" s="47" t="n"/>
      <c r="Q16" s="47" t="n"/>
      <c r="R16" s="48" t="inlineStr">
        <is>
          <t>WEEKDAY</t>
        </is>
      </c>
      <c r="S16" s="49" t="inlineStr">
        <is>
          <t>WEEKEND</t>
        </is>
      </c>
    </row>
    <row r="17">
      <c r="K17" s="3" t="inlineStr">
        <is>
          <t>MON</t>
        </is>
      </c>
      <c r="L17" s="30" t="inlineStr">
        <is>
          <t>TUE</t>
        </is>
      </c>
      <c r="M17" s="30" t="inlineStr">
        <is>
          <t>WED</t>
        </is>
      </c>
      <c r="N17" s="30" t="inlineStr">
        <is>
          <t>THU</t>
        </is>
      </c>
      <c r="O17" s="30" t="inlineStr">
        <is>
          <t>FRI</t>
        </is>
      </c>
      <c r="P17" s="30" t="inlineStr">
        <is>
          <t>Total</t>
        </is>
      </c>
      <c r="Q17" s="31" t="inlineStr">
        <is>
          <t>SAT</t>
        </is>
      </c>
      <c r="R17" s="26" t="inlineStr">
        <is>
          <t>Awaiting Payment</t>
        </is>
      </c>
      <c r="S17" s="27" t="inlineStr">
        <is>
          <t>Awaiting Payment</t>
        </is>
      </c>
    </row>
    <row r="18">
      <c r="K18" s="35">
        <f>SUMIF(C29:C38, "24/11/2025", F29:F38) + SUMIF(C43:C48, "24/11/2025", F43:F48) + SUMIF(C77:C83, "24/11/2025", F77:F83) + SUMIF(C87:C92, "24/11/2025", F87:F92) + SUMIF(C105:C111, "24/11/2025", F105:F111) + SUMIF(C115:C120, "24/11/2025", F115:F120)</f>
        <v/>
      </c>
      <c r="L18" s="36">
        <f>SUMIF(C29:C38, "25/11/2025", F29:F38) + SUMIF(C43:C48, "25/11/2025", F43:F48) + SUMIF(C77:C83, "25/11/2025", F77:F83) + SUMIF(C87:C92, "25/11/2025", F87:F92) + SUMIF(C105:C111, "25/11/2025", F105:F111) + SUMIF(C115:C120, "25/11/2025", F115:F120)</f>
        <v/>
      </c>
      <c r="M18" s="36">
        <f>SUMIF(C29:C38, "26/11/2025", F29:F38) + SUMIF(C43:C48, "26/11/2025", F43:F48) + SUMIF(C77:C83, "26/11/2025", F77:F83) + SUMIF(C87:C92, "26/11/2025", F87:F92) + SUMIF(C105:C111, "26/11/2025", F105:F111) + SUMIF(C115:C120, "26/11/2025", F115:F120)</f>
        <v/>
      </c>
      <c r="N18" s="36">
        <f>SUMIF(C29:C38, "27/11/2025", F29:F38) + SUMIF(C43:C48, "27/11/2025", F43:F48) + SUMIF(C77:C83, "27/11/2025", F77:F83) + SUMIF(C87:C92, "27/11/2025", F87:F92) + SUMIF(C105:C111, "27/11/2025", F105:F111) + SUMIF(C115:C120, "27/11/2025", F115:F120)</f>
        <v/>
      </c>
      <c r="O18" s="36">
        <f>SUMIF(C29:C38, "28/11/2025", F29:F38) + SUMIF(C43:C48, "28/11/2025", F43:F48) + SUMIF(C77:C83, "28/11/2025", F77:F83) + SUMIF(C87:C92, "28/11/2025", F87:F92) + SUMIF(C105:C111, "28/11/2025", F105:F111) + SUMIF(C115:C120, "28/11/2025", F115:F120)</f>
        <v/>
      </c>
      <c r="P18" s="36">
        <f>SUM(K18:O18)</f>
        <v/>
      </c>
      <c r="Q18" s="37">
        <f>SUMIF(C29:C38, "29/11/2025", F29:F38) + SUMIF(C43:C48, "29/11/2025", F43:F48) + SUMIF(C77:C83, "29/11/2025", F77:F83) + SUMIF(C87:C92, "29/11/2025", F87:F92) + SUMIF(C105:C111, "29/11/2025", F105:F111) + SUMIF(C115:C120, "29/11/2025", F115:F120)</f>
        <v/>
      </c>
      <c r="R18" s="38">
        <f>SUM(F77:F83) + SUM(F105:F111)</f>
        <v/>
      </c>
      <c r="S18" s="39">
        <f>SUM(F87:F92) + SUM(F115:F120)</f>
        <v/>
      </c>
    </row>
    <row r="19">
      <c r="J19" t="inlineStr">
        <is>
          <t>Successful</t>
        </is>
      </c>
      <c r="K19">
        <f>K11</f>
        <v/>
      </c>
      <c r="L19">
        <f>L11</f>
        <v/>
      </c>
      <c r="M19">
        <f>M11</f>
        <v/>
      </c>
      <c r="N19">
        <f>N11</f>
        <v/>
      </c>
      <c r="O19">
        <f>O11</f>
        <v/>
      </c>
      <c r="P19">
        <f>P11</f>
        <v/>
      </c>
      <c r="Q19">
        <f>Q11</f>
        <v/>
      </c>
    </row>
    <row r="20">
      <c r="J20" t="inlineStr">
        <is>
          <t>Unsuccessful</t>
        </is>
      </c>
      <c r="K20">
        <f>K12</f>
        <v/>
      </c>
      <c r="L20">
        <f>L12</f>
        <v/>
      </c>
      <c r="M20">
        <f>M12</f>
        <v/>
      </c>
      <c r="N20">
        <f>N12</f>
        <v/>
      </c>
      <c r="O20">
        <f>O12</f>
        <v/>
      </c>
      <c r="P20">
        <f>P12</f>
        <v/>
      </c>
      <c r="Q20">
        <f>Q12</f>
        <v/>
      </c>
    </row>
    <row r="21">
      <c r="J21" t="inlineStr">
        <is>
          <t>Success rate</t>
        </is>
      </c>
      <c r="K21" s="41">
        <f>K13</f>
        <v/>
      </c>
      <c r="L21" s="41">
        <f>L13</f>
        <v/>
      </c>
      <c r="M21" s="41">
        <f>M13</f>
        <v/>
      </c>
      <c r="N21" s="41">
        <f>N13</f>
        <v/>
      </c>
      <c r="O21" s="41">
        <f>O13</f>
        <v/>
      </c>
      <c r="P21" s="41">
        <f>P13</f>
        <v/>
      </c>
      <c r="Q21" s="41">
        <f>Q13</f>
        <v/>
      </c>
    </row>
    <row r="22">
      <c r="J22" t="inlineStr">
        <is>
          <t>Avg sale</t>
        </is>
      </c>
      <c r="K22" s="44">
        <f>K18/K19</f>
        <v/>
      </c>
      <c r="L22" s="44">
        <f>L18/L19</f>
        <v/>
      </c>
      <c r="M22" s="44">
        <f>M18/M19</f>
        <v/>
      </c>
      <c r="N22" s="44">
        <f>N18/N19</f>
        <v/>
      </c>
      <c r="O22" s="44">
        <f>O18/O19</f>
        <v/>
      </c>
      <c r="P22" s="44">
        <f>P18/P19</f>
        <v/>
      </c>
      <c r="Q22" s="44">
        <f>Q18/Q19</f>
        <v/>
      </c>
    </row>
    <row r="26">
      <c r="B26" s="50" t="inlineStr">
        <is>
          <t>JOB DETAILS</t>
        </is>
      </c>
      <c r="C26" s="4" t="n"/>
      <c r="D26" s="4" t="n"/>
      <c r="E26" s="4" t="n"/>
      <c r="F26" s="50" t="inlineStr">
        <is>
          <t>JOB AMOUNT</t>
        </is>
      </c>
      <c r="G26" s="4" t="n"/>
      <c r="H26" s="4" t="n"/>
      <c r="I26" s="4" t="n"/>
      <c r="J26" s="4" t="n"/>
      <c r="K26" s="50" t="n"/>
      <c r="L26" s="50" t="inlineStr">
        <is>
          <t>PHOTOS</t>
        </is>
      </c>
      <c r="M26" s="4" t="n"/>
      <c r="N26" s="4" t="n"/>
      <c r="O26" s="50" t="inlineStr">
        <is>
          <t>QUOTE</t>
        </is>
      </c>
      <c r="P26" s="4" t="n"/>
      <c r="Q26" s="4" t="n"/>
      <c r="R26" s="50" t="inlineStr">
        <is>
          <t>INVOICE</t>
        </is>
      </c>
      <c r="S26" s="4" t="n"/>
      <c r="T26" s="4" t="n"/>
      <c r="U26" s="4" t="n"/>
      <c r="V26" s="5" t="inlineStr">
        <is>
          <t>NOTES</t>
        </is>
      </c>
    </row>
    <row r="27">
      <c r="B27" s="15" t="inlineStr">
        <is>
          <t>JOB STATUS</t>
        </is>
      </c>
      <c r="C27" s="16" t="inlineStr">
        <is>
          <t>DATE</t>
        </is>
      </c>
      <c r="D27" s="16" t="inlineStr">
        <is>
          <t>JOB #</t>
        </is>
      </c>
      <c r="E27" s="51" t="inlineStr">
        <is>
          <t>SUBURB</t>
        </is>
      </c>
      <c r="F27" s="16" t="inlineStr">
        <is>
          <t>AMOUNT EXC. GST</t>
        </is>
      </c>
      <c r="G27" s="16" t="inlineStr">
        <is>
          <t>MATERIALS</t>
        </is>
      </c>
      <c r="H27" s="16" t="inlineStr">
        <is>
          <t>MERCHANT FEES</t>
        </is>
      </c>
      <c r="I27" s="16" t="inlineStr">
        <is>
          <t>NET PROFIT</t>
        </is>
      </c>
      <c r="J27" s="51" t="inlineStr">
        <is>
          <t>PAID</t>
        </is>
      </c>
      <c r="K27" s="51" t="inlineStr">
        <is>
          <t>DOC CHECK DONE</t>
        </is>
      </c>
      <c r="L27" s="16" t="inlineStr">
        <is>
          <t>BEFORE</t>
        </is>
      </c>
      <c r="M27" s="16" t="inlineStr">
        <is>
          <t>AFTER</t>
        </is>
      </c>
      <c r="N27" s="51" t="inlineStr">
        <is>
          <t>RECEIPT</t>
        </is>
      </c>
      <c r="O27" s="16" t="inlineStr">
        <is>
          <t>DESCRIPTION</t>
        </is>
      </c>
      <c r="P27" s="16" t="inlineStr">
        <is>
          <t>SIGNED</t>
        </is>
      </c>
      <c r="Q27" s="51" t="inlineStr">
        <is>
          <t>EMAILED</t>
        </is>
      </c>
      <c r="R27" s="16" t="inlineStr">
        <is>
          <t>DESCRIPTION</t>
        </is>
      </c>
      <c r="S27" s="16" t="inlineStr">
        <is>
          <t>SIGNED</t>
        </is>
      </c>
      <c r="T27" s="51" t="inlineStr">
        <is>
          <t>EMAILED</t>
        </is>
      </c>
      <c r="U27" s="16" t="inlineStr">
        <is>
          <t>5 Star Review</t>
        </is>
      </c>
      <c r="V27" s="51" t="n"/>
      <c r="W27" s="52" t="inlineStr">
        <is>
          <t>EFTPOS</t>
        </is>
      </c>
      <c r="X27" s="52" t="inlineStr">
        <is>
          <t>CASH</t>
        </is>
      </c>
      <c r="Y27" s="52" t="inlineStr">
        <is>
          <t>Payment Plan</t>
        </is>
      </c>
    </row>
    <row r="28">
      <c r="B28" t="inlineStr">
        <is>
          <t>COMPLETED &amp; PAID JOBS</t>
        </is>
      </c>
      <c r="W28" s="52" t="n"/>
      <c r="X28" s="52" t="n"/>
      <c r="Y28" s="52" t="n"/>
    </row>
    <row r="29">
      <c r="B29" t="n">
        <v>1</v>
      </c>
      <c r="C29" t="inlineStr">
        <is>
          <t>24/11/2025</t>
        </is>
      </c>
      <c r="D29" t="n">
        <v>100204</v>
      </c>
      <c r="E29" t="inlineStr">
        <is>
          <t>South Yarra</t>
        </is>
      </c>
      <c r="F29" s="44" t="n">
        <v>2261</v>
      </c>
      <c r="G29" s="44" t="n">
        <v>452.2</v>
      </c>
      <c r="I29" s="44">
        <f>F29-G29-H29</f>
        <v/>
      </c>
      <c r="J29" t="inlineStr">
        <is>
          <t>Credit Card</t>
        </is>
      </c>
      <c r="K29" s="53">
        <f>IF(OR(L29=0, M29=0, N29=0, O29=0, P29=0, Q29=0, R29=0, S29=0, T29=0), "N","Y")</f>
        <v/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s="54">
        <f>2487.10</f>
        <v/>
      </c>
      <c r="X29" s="52" t="n"/>
      <c r="Y29" s="52" t="n"/>
      <c r="Z29" s="55">
        <f>ROUND(F29*1.1,2)</f>
        <v/>
      </c>
      <c r="AA29" s="55">
        <f>ROUND(Z29 - W29 - X29 - Y29,2)</f>
        <v/>
      </c>
    </row>
    <row r="30">
      <c r="B30" t="n">
        <v>2</v>
      </c>
      <c r="C30" t="inlineStr">
        <is>
          <t>25/11/2025</t>
        </is>
      </c>
      <c r="D30" t="n">
        <v>100199</v>
      </c>
      <c r="E30" t="inlineStr">
        <is>
          <t>Rowville</t>
        </is>
      </c>
      <c r="F30" s="44" t="n">
        <v>1196</v>
      </c>
      <c r="G30" s="44" t="n">
        <v>239.2</v>
      </c>
      <c r="I30" s="44">
        <f>F30-G30-H30</f>
        <v/>
      </c>
      <c r="J30" t="inlineStr">
        <is>
          <t>Credit Card</t>
        </is>
      </c>
      <c r="K30" s="53">
        <f>IF(OR(L30=0, M30=0, N30=0, O30=0, P30=0, Q30=0, R30=0, S30=0, T30=0), "N","Y")</f>
        <v/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W30" s="54">
        <f>1315.60</f>
        <v/>
      </c>
      <c r="X30" s="52" t="n"/>
      <c r="Y30" s="52" t="n"/>
      <c r="Z30" s="55">
        <f>ROUND(F30*1.1,2)</f>
        <v/>
      </c>
      <c r="AA30" s="55">
        <f>ROUND(Z30 - W30 - X30 - Y30,2)</f>
        <v/>
      </c>
    </row>
    <row r="31">
      <c r="B31" t="n">
        <v>3</v>
      </c>
      <c r="C31" t="inlineStr">
        <is>
          <t>26/11/2025</t>
        </is>
      </c>
      <c r="D31" t="n">
        <v>100285</v>
      </c>
      <c r="E31" t="inlineStr">
        <is>
          <t>Mount Waverley</t>
        </is>
      </c>
      <c r="F31" s="44" t="n">
        <v>3373.98</v>
      </c>
      <c r="G31" s="44" t="n">
        <v>674.796</v>
      </c>
      <c r="I31" s="44">
        <f>F31-G31-H31</f>
        <v/>
      </c>
      <c r="J31" t="inlineStr">
        <is>
          <t>Credit Card, EFT/Bank Transfer</t>
        </is>
      </c>
      <c r="K31" s="53">
        <f>IF(OR(L31=0, M31=0, N31=0, O31=0, P31=0, Q31=0, R31=0, S31=0, T31=0), "N","Y")</f>
        <v/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W31" s="54">
        <f>3361.38+350.00</f>
        <v/>
      </c>
      <c r="X31" s="52" t="n"/>
      <c r="Y31" s="52" t="n"/>
      <c r="Z31" s="55">
        <f>ROUND(F31*1.1,2)</f>
        <v/>
      </c>
      <c r="AA31" s="55">
        <f>ROUND(Z31 - W31 - X31 - Y31,2)</f>
        <v/>
      </c>
    </row>
    <row r="32">
      <c r="B32" t="n">
        <v>4</v>
      </c>
      <c r="C32" t="inlineStr">
        <is>
          <t>28/11/2025</t>
        </is>
      </c>
      <c r="D32" t="n">
        <v>100360</v>
      </c>
      <c r="E32" t="inlineStr">
        <is>
          <t>Newport</t>
        </is>
      </c>
      <c r="F32" s="44" t="n">
        <v>1861</v>
      </c>
      <c r="G32" s="44" t="n">
        <v>372.2</v>
      </c>
      <c r="I32" s="44">
        <f>F32-G32-H32</f>
        <v/>
      </c>
      <c r="J32" t="inlineStr">
        <is>
          <t>Credit Card</t>
        </is>
      </c>
      <c r="K32" s="53">
        <f>IF(OR(L32=0, M32=0, N32=0, O32=0, P32=0, Q32=0, R32=0, S32=0, T32=0), "N","Y")</f>
        <v/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W32" s="54">
        <f>1847.10+200.00</f>
        <v/>
      </c>
      <c r="X32" s="52" t="n"/>
      <c r="Y32" s="52" t="n"/>
      <c r="Z32" s="55">
        <f>ROUND(F32*1.1,2)</f>
        <v/>
      </c>
      <c r="AA32" s="55">
        <f>ROUND(Z32 - W32 - X32 - Y32,2)</f>
        <v/>
      </c>
    </row>
    <row r="33">
      <c r="B33" t="n">
        <v>5</v>
      </c>
      <c r="C33" t="inlineStr">
        <is>
          <t>28/11/2025</t>
        </is>
      </c>
      <c r="D33" t="n">
        <v>100276</v>
      </c>
      <c r="E33" t="inlineStr">
        <is>
          <t>St Kilda</t>
        </is>
      </c>
      <c r="F33" s="44" t="n">
        <v>870.98</v>
      </c>
      <c r="G33" s="44" t="n">
        <v>174.196</v>
      </c>
      <c r="I33" s="44">
        <f>F33-G33-H33</f>
        <v/>
      </c>
      <c r="J33" t="inlineStr">
        <is>
          <t>Credit Card</t>
        </is>
      </c>
      <c r="K33" s="53">
        <f>IF(OR(L33=0, M33=0, N33=0, O33=0, P33=0, Q33=0, R33=0, S33=0, T33=0), "N","Y")</f>
        <v/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W33" s="54">
        <f>958.08</f>
        <v/>
      </c>
      <c r="X33" s="52" t="n"/>
      <c r="Y33" s="52" t="n"/>
      <c r="Z33" s="55">
        <f>ROUND(F33*1.1,2)</f>
        <v/>
      </c>
      <c r="AA33" s="55">
        <f>ROUND(Z33 - W33 - X33 - Y33,2)</f>
        <v/>
      </c>
    </row>
    <row r="34">
      <c r="W34" s="52" t="n"/>
      <c r="X34" s="52" t="n"/>
      <c r="Y34" s="52" t="n"/>
    </row>
    <row r="35">
      <c r="W35" s="52" t="n"/>
      <c r="X35" s="52" t="n"/>
      <c r="Y35" s="52" t="n"/>
    </row>
    <row r="36">
      <c r="W36" s="52" t="n"/>
      <c r="X36" s="52" t="n"/>
      <c r="Y36" s="52" t="n"/>
    </row>
    <row r="37">
      <c r="W37" s="52" t="n"/>
      <c r="X37" s="52" t="n"/>
      <c r="Y37" s="52" t="n"/>
    </row>
    <row r="38">
      <c r="W38" s="52" t="n"/>
      <c r="X38" s="52" t="n"/>
      <c r="Y38" s="52" t="n"/>
    </row>
    <row r="39">
      <c r="F39" s="56">
        <f>SUM(F29:F38)</f>
        <v/>
      </c>
      <c r="G39" s="56">
        <f>SUM(G29:G38)</f>
        <v/>
      </c>
      <c r="H39" s="56">
        <f>SUM(H29:H38)</f>
        <v/>
      </c>
      <c r="I39" s="56">
        <f>SUM(I29:I38)</f>
        <v/>
      </c>
      <c r="L39">
        <f>COUNT(L29:L38)</f>
        <v/>
      </c>
      <c r="M39">
        <f>COUNT(M29:M38)</f>
        <v/>
      </c>
      <c r="N39">
        <f>COUNT(N29:N38)</f>
        <v/>
      </c>
      <c r="O39">
        <f>COUNT(O29:O38)</f>
        <v/>
      </c>
      <c r="P39">
        <f>COUNT(P29:P38)</f>
        <v/>
      </c>
      <c r="Q39">
        <f>COUNT(Q29:Q38)</f>
        <v/>
      </c>
      <c r="R39">
        <f>COUNT(R29:R38)</f>
        <v/>
      </c>
      <c r="S39">
        <f>COUNT(S29:S38)</f>
        <v/>
      </c>
      <c r="T39">
        <f>COUNT(T29:T38)</f>
        <v/>
      </c>
      <c r="U39">
        <f>COUNT(U29:U38)</f>
        <v/>
      </c>
      <c r="W39" s="52" t="n"/>
      <c r="X39" s="52" t="n"/>
      <c r="Y39" s="52" t="n"/>
    </row>
    <row r="40">
      <c r="L40">
        <f>SUM(L29:L38)</f>
        <v/>
      </c>
      <c r="M40">
        <f>SUM(M29:M38)</f>
        <v/>
      </c>
      <c r="N40">
        <f>SUM(N29:N38)</f>
        <v/>
      </c>
      <c r="O40">
        <f>SUM(O29:O38)</f>
        <v/>
      </c>
      <c r="P40">
        <f>SUM(P29:P38)</f>
        <v/>
      </c>
      <c r="Q40">
        <f>SUM(Q29:Q38)</f>
        <v/>
      </c>
      <c r="R40">
        <f>SUM(R29:R38)</f>
        <v/>
      </c>
      <c r="S40">
        <f>SUM(S29:S38)</f>
        <v/>
      </c>
      <c r="T40">
        <f>SUM(T29:T38)</f>
        <v/>
      </c>
      <c r="U40">
        <f>SUM(U29:U38)</f>
        <v/>
      </c>
      <c r="W40" s="52" t="n"/>
      <c r="X40" s="52" t="n"/>
      <c r="Y40" s="52" t="n"/>
    </row>
    <row r="41">
      <c r="W41" s="52" t="n"/>
      <c r="X41" s="52" t="n"/>
      <c r="Y41" s="52" t="n"/>
    </row>
    <row r="42">
      <c r="B42" t="inlineStr">
        <is>
          <t>WEEKEND COMPLETED &amp; PAID JOBS</t>
        </is>
      </c>
      <c r="W42" s="52" t="n"/>
      <c r="X42" s="52" t="n"/>
      <c r="Y42" s="52" t="n"/>
    </row>
    <row r="43">
      <c r="W43" s="52" t="n"/>
      <c r="X43" s="52" t="n"/>
      <c r="Y43" s="52" t="n"/>
    </row>
    <row r="44">
      <c r="W44" s="52" t="n"/>
      <c r="X44" s="52" t="n"/>
      <c r="Y44" s="52" t="n"/>
    </row>
    <row r="45">
      <c r="W45" s="52" t="n"/>
      <c r="X45" s="52" t="n"/>
      <c r="Y45" s="52" t="n"/>
    </row>
    <row r="46">
      <c r="W46" s="52" t="n"/>
      <c r="X46" s="52" t="n"/>
      <c r="Y46" s="52" t="n"/>
    </row>
    <row r="47">
      <c r="W47" s="52" t="n"/>
      <c r="X47" s="52" t="n"/>
      <c r="Y47" s="52" t="n"/>
    </row>
    <row r="48">
      <c r="W48" s="52" t="n"/>
      <c r="X48" s="52" t="n"/>
      <c r="Y48" s="52" t="n"/>
    </row>
    <row r="49">
      <c r="F49" s="56">
        <f>SUM(F43:F48)</f>
        <v/>
      </c>
      <c r="G49" s="56">
        <f>SUM(G43:G48)</f>
        <v/>
      </c>
      <c r="H49" s="56">
        <f>SUM(H43:H48)</f>
        <v/>
      </c>
      <c r="I49" s="56">
        <f>SUM(I43:I48)</f>
        <v/>
      </c>
      <c r="W49" s="52" t="n"/>
      <c r="X49" s="52" t="n"/>
      <c r="Y49" s="52" t="n"/>
    </row>
    <row r="50">
      <c r="W50" s="52" t="n"/>
      <c r="X50" s="52" t="n"/>
      <c r="Y50" s="52" t="n"/>
    </row>
    <row r="51">
      <c r="B51" t="inlineStr">
        <is>
          <t>AFTERHOURS COMPLETED &amp; PAID JOBS</t>
        </is>
      </c>
      <c r="W51" s="52" t="n"/>
      <c r="X51" s="52" t="n"/>
      <c r="Y51" s="52" t="n"/>
    </row>
    <row r="52">
      <c r="W52" s="52" t="n"/>
      <c r="X52" s="52" t="n"/>
      <c r="Y52" s="52" t="n"/>
    </row>
    <row r="53">
      <c r="W53" s="52" t="n"/>
      <c r="X53" s="52" t="n"/>
      <c r="Y53" s="52" t="n"/>
    </row>
    <row r="54">
      <c r="W54" s="52" t="n"/>
      <c r="X54" s="52" t="n"/>
      <c r="Y54" s="52" t="n"/>
    </row>
    <row r="55">
      <c r="W55" s="52" t="n"/>
      <c r="X55" s="52" t="n"/>
      <c r="Y55" s="52" t="n"/>
    </row>
    <row r="56">
      <c r="W56" s="52" t="n"/>
      <c r="X56" s="52" t="n"/>
      <c r="Y56" s="52" t="n"/>
    </row>
    <row r="57">
      <c r="W57" s="52" t="n"/>
      <c r="X57" s="52" t="n"/>
      <c r="Y57" s="52" t="n"/>
    </row>
    <row r="58">
      <c r="F58" s="56">
        <f>SUM(F52:F57)</f>
        <v/>
      </c>
      <c r="G58" s="56">
        <f>SUM(G52:G57)</f>
        <v/>
      </c>
      <c r="H58" s="56">
        <f>SUM(H52:H57)</f>
        <v/>
      </c>
      <c r="I58" s="56">
        <f>SUM(I52:I57)</f>
        <v/>
      </c>
      <c r="W58" s="52" t="n"/>
      <c r="X58" s="52" t="n"/>
      <c r="Y58" s="52" t="n"/>
    </row>
    <row r="59">
      <c r="W59" s="52" t="n"/>
      <c r="X59" s="52" t="n"/>
      <c r="Y59" s="52" t="n"/>
    </row>
    <row r="60">
      <c r="A60" s="57" t="n"/>
      <c r="B60" s="57" t="inlineStr">
        <is>
          <t>PREVIOUS JOBS COMPLETED &amp; PAID (COMMISSION) - Modoras Team Please do ADD to THIS SECTION or AMEND/TOUCH</t>
        </is>
      </c>
      <c r="C60" s="57" t="n"/>
      <c r="D60" s="57" t="n"/>
      <c r="E60" s="57" t="n"/>
      <c r="F60" s="57" t="n"/>
      <c r="G60" s="57" t="n"/>
      <c r="H60" s="57" t="n"/>
      <c r="I60" s="57" t="n"/>
      <c r="J60" s="57" t="n"/>
      <c r="K60" s="57" t="n"/>
      <c r="L60" s="57" t="n"/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8" t="n"/>
      <c r="X60" s="58" t="n"/>
      <c r="Y60" s="52" t="n"/>
    </row>
    <row r="61">
      <c r="A61" s="57" t="n"/>
      <c r="B61" s="57" t="n">
        <v>1</v>
      </c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8" t="n"/>
      <c r="X61" s="58" t="n"/>
      <c r="Y61" s="52" t="n"/>
    </row>
    <row r="62">
      <c r="A62" s="57" t="n"/>
      <c r="B62" s="57" t="n">
        <v>2</v>
      </c>
      <c r="C62" s="57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8" t="n"/>
      <c r="X62" s="58" t="n"/>
      <c r="Y62" s="52" t="n"/>
    </row>
    <row r="63">
      <c r="A63" s="57" t="n"/>
      <c r="B63" s="57" t="n">
        <v>3</v>
      </c>
      <c r="C63" s="57" t="n"/>
      <c r="D63" s="57" t="n"/>
      <c r="E63" s="57" t="n"/>
      <c r="F63" s="57" t="n"/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8" t="n"/>
      <c r="X63" s="58" t="n"/>
      <c r="Y63" s="52" t="n"/>
    </row>
    <row r="64">
      <c r="A64" s="57" t="n"/>
      <c r="B64" s="57" t="n">
        <v>4</v>
      </c>
      <c r="C64" s="57" t="n"/>
      <c r="D64" s="57" t="n"/>
      <c r="E64" s="57" t="n"/>
      <c r="F64" s="57" t="n"/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8" t="n"/>
      <c r="X64" s="58" t="n"/>
      <c r="Y64" s="52" t="n"/>
    </row>
    <row r="65">
      <c r="A65" s="57" t="n"/>
      <c r="B65" s="57" t="n">
        <v>5</v>
      </c>
      <c r="C65" s="57" t="n"/>
      <c r="D65" s="57" t="n"/>
      <c r="E65" s="57" t="n"/>
      <c r="F65" s="57" t="n"/>
      <c r="G65" s="57" t="n"/>
      <c r="H65" s="57" t="n"/>
      <c r="I65" s="57" t="n"/>
      <c r="J65" s="57" t="n"/>
      <c r="K65" s="57" t="n"/>
      <c r="L65" s="57" t="n"/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8" t="n"/>
      <c r="X65" s="58" t="n"/>
      <c r="Y65" s="52" t="n"/>
    </row>
    <row r="66">
      <c r="A66" s="57" t="n"/>
      <c r="B66" s="57" t="n">
        <v>6</v>
      </c>
      <c r="C66" s="57" t="n"/>
      <c r="D66" s="57" t="n"/>
      <c r="E66" s="57" t="n"/>
      <c r="F66" s="57" t="n"/>
      <c r="G66" s="57" t="n"/>
      <c r="H66" s="57" t="n"/>
      <c r="I66" s="57" t="n"/>
      <c r="J66" s="57" t="n"/>
      <c r="K66" s="57" t="n"/>
      <c r="L66" s="57" t="n"/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8" t="n"/>
      <c r="X66" s="58" t="n"/>
      <c r="Y66" s="52" t="n"/>
    </row>
    <row r="67">
      <c r="A67" s="57" t="n"/>
      <c r="B67" s="57" t="n">
        <v>7</v>
      </c>
      <c r="C67" s="57" t="n"/>
      <c r="D67" s="57" t="n"/>
      <c r="E67" s="57" t="n"/>
      <c r="F67" s="57" t="n"/>
      <c r="G67" s="57" t="n"/>
      <c r="H67" s="57" t="n"/>
      <c r="I67" s="57" t="n"/>
      <c r="J67" s="57" t="n"/>
      <c r="K67" s="57" t="n"/>
      <c r="L67" s="57" t="n"/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8" t="n"/>
      <c r="X67" s="58" t="n"/>
      <c r="Y67" s="52" t="n"/>
    </row>
    <row r="68">
      <c r="A68" s="57" t="n"/>
      <c r="B68" s="57" t="n">
        <v>8</v>
      </c>
      <c r="C68" s="57" t="n"/>
      <c r="D68" s="57" t="n"/>
      <c r="E68" s="57" t="n"/>
      <c r="F68" s="57" t="n"/>
      <c r="G68" s="57" t="n"/>
      <c r="H68" s="57" t="n"/>
      <c r="I68" s="57" t="n"/>
      <c r="J68" s="57" t="n"/>
      <c r="K68" s="57" t="n"/>
      <c r="L68" s="57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8" t="n"/>
      <c r="X68" s="58" t="n"/>
      <c r="Y68" s="52" t="n"/>
    </row>
    <row r="69">
      <c r="W69" s="52" t="n"/>
      <c r="X69" s="52" t="n"/>
      <c r="Y69" s="52" t="n"/>
    </row>
    <row r="70">
      <c r="W70" s="52" t="n"/>
      <c r="X70" s="52" t="n"/>
      <c r="Y70" s="52" t="n"/>
    </row>
    <row r="71">
      <c r="W71" s="52" t="n"/>
      <c r="X71" s="52" t="n"/>
      <c r="Y71" s="52" t="n"/>
    </row>
    <row r="72">
      <c r="W72" s="52" t="n"/>
      <c r="X72" s="52" t="n"/>
      <c r="Y72" s="52" t="n"/>
    </row>
    <row r="73">
      <c r="W73" s="52" t="n"/>
      <c r="X73" s="52" t="n"/>
      <c r="Y73" s="52" t="n"/>
    </row>
    <row r="74">
      <c r="F74" s="56">
        <f>SUM(F61:F73)</f>
        <v/>
      </c>
      <c r="G74" s="56">
        <f>SUM(G61:G73)</f>
        <v/>
      </c>
      <c r="H74" s="56">
        <f>SUM(H61:H73)</f>
        <v/>
      </c>
      <c r="I74" s="56">
        <f>SUM(I61:I73)</f>
        <v/>
      </c>
      <c r="W74" s="52" t="n"/>
      <c r="X74" s="52" t="n"/>
      <c r="Y74" s="52" t="n"/>
    </row>
    <row r="75">
      <c r="W75" s="52" t="n"/>
      <c r="X75" s="52" t="n"/>
      <c r="Y75" s="52" t="n"/>
    </row>
    <row r="76">
      <c r="B76" s="59" t="inlineStr">
        <is>
          <t>CURRENT JOBS COMPLETED (AWAITING PAYMENT)</t>
        </is>
      </c>
      <c r="W76" s="52" t="n"/>
      <c r="X76" s="52" t="n"/>
      <c r="Y76" s="52" t="n"/>
    </row>
    <row r="77">
      <c r="B77" s="59" t="n">
        <v>1</v>
      </c>
      <c r="C77" s="59" t="inlineStr">
        <is>
          <t>25/11/2025</t>
        </is>
      </c>
      <c r="D77" s="59" t="n">
        <v>100246</v>
      </c>
      <c r="E77" s="59" t="inlineStr">
        <is>
          <t>Mulgrave</t>
        </is>
      </c>
      <c r="F77" s="60" t="n">
        <v>2363.63</v>
      </c>
      <c r="G77" s="60" t="n">
        <v>472.7260000000001</v>
      </c>
      <c r="I77" s="60">
        <f>F77-G77-H77</f>
        <v/>
      </c>
      <c r="J77" s="59" t="inlineStr">
        <is>
          <t>Cash</t>
        </is>
      </c>
      <c r="K77" s="61">
        <f>IF(OR(L77=0, M77=0, N77=0, O77=0, P77=0, Q77=0, R77=0, S77=0, T77=0), "N","Y")</f>
        <v/>
      </c>
      <c r="L77" s="59" t="n">
        <v>0</v>
      </c>
      <c r="M77" s="59" t="n">
        <v>0</v>
      </c>
      <c r="N77" s="59" t="n">
        <v>0</v>
      </c>
      <c r="O77" s="59" t="n">
        <v>0</v>
      </c>
      <c r="P77" s="59" t="n">
        <v>0</v>
      </c>
      <c r="Q77" s="59" t="n">
        <v>0</v>
      </c>
      <c r="R77" s="59" t="n">
        <v>0</v>
      </c>
      <c r="S77" s="59" t="n">
        <v>0</v>
      </c>
      <c r="T77" s="59" t="n">
        <v>0</v>
      </c>
      <c r="U77" s="59" t="n">
        <v>0</v>
      </c>
      <c r="W77" s="52" t="n"/>
      <c r="X77" s="62">
        <f>2600.00</f>
        <v/>
      </c>
      <c r="Y77" s="52" t="n"/>
      <c r="Z77" s="55">
        <f>ROUND(F77*1.1,2)</f>
        <v/>
      </c>
      <c r="AA77" s="55">
        <f>ROUND(Z77 - W77 - X77 - Y77,2)</f>
        <v/>
      </c>
    </row>
    <row r="78">
      <c r="B78" s="59" t="n">
        <v>2</v>
      </c>
      <c r="C78" s="59" t="inlineStr">
        <is>
          <t>27/11/2025</t>
        </is>
      </c>
      <c r="D78" s="59" t="n">
        <v>100328</v>
      </c>
      <c r="E78" s="59" t="inlineStr">
        <is>
          <t>Cranbourne North</t>
        </is>
      </c>
      <c r="F78" s="60" t="n">
        <v>621.67</v>
      </c>
      <c r="G78" s="60" t="n">
        <v>124.334</v>
      </c>
      <c r="I78" s="60">
        <f>F78-G78-H78</f>
        <v/>
      </c>
      <c r="J78" s="59" t="inlineStr">
        <is>
          <t>Credit Card</t>
        </is>
      </c>
      <c r="K78" s="61">
        <f>IF(OR(L78=0, M78=0, N78=0, O78=0, P78=0, Q78=0, R78=0, S78=0, T78=0), "N","Y")</f>
        <v/>
      </c>
      <c r="L78" s="59" t="n">
        <v>0</v>
      </c>
      <c r="M78" s="59" t="n">
        <v>0</v>
      </c>
      <c r="N78" s="59" t="n">
        <v>0</v>
      </c>
      <c r="O78" s="59" t="n">
        <v>0</v>
      </c>
      <c r="P78" s="59" t="n">
        <v>0</v>
      </c>
      <c r="Q78" s="59" t="n">
        <v>0</v>
      </c>
      <c r="R78" s="59" t="n">
        <v>0</v>
      </c>
      <c r="S78" s="59" t="n">
        <v>0</v>
      </c>
      <c r="T78" s="59" t="n">
        <v>0</v>
      </c>
      <c r="U78" s="59" t="n">
        <v>0</v>
      </c>
      <c r="W78" s="62">
        <f>615.46+68.38</f>
        <v/>
      </c>
      <c r="X78" s="52" t="n"/>
      <c r="Y78" s="52" t="n"/>
      <c r="Z78" s="55">
        <f>ROUND(F78*1.1,2)</f>
        <v/>
      </c>
      <c r="AA78" s="55">
        <f>ROUND(Z78 - W78 - X78 - Y78,2)</f>
        <v/>
      </c>
    </row>
    <row r="79">
      <c r="W79" s="52" t="n"/>
      <c r="X79" s="52" t="n"/>
      <c r="Y79" s="52" t="n"/>
    </row>
    <row r="80">
      <c r="W80" s="52" t="n"/>
      <c r="X80" s="52" t="n"/>
      <c r="Y80" s="52" t="n"/>
    </row>
    <row r="81">
      <c r="W81" s="52" t="n"/>
      <c r="X81" s="52" t="n"/>
      <c r="Y81" s="52" t="n"/>
    </row>
    <row r="82">
      <c r="W82" s="52" t="n"/>
      <c r="X82" s="52" t="n"/>
      <c r="Y82" s="52" t="n"/>
    </row>
    <row r="83">
      <c r="W83" s="52" t="n"/>
      <c r="X83" s="52" t="n"/>
      <c r="Y83" s="52" t="n"/>
    </row>
    <row r="84">
      <c r="F84" s="56">
        <f>SUM(F77:F83)</f>
        <v/>
      </c>
      <c r="G84" s="56">
        <f>SUM(G77:G83)</f>
        <v/>
      </c>
      <c r="H84" s="56">
        <f>SUM(H77:H83)</f>
        <v/>
      </c>
      <c r="I84" s="56">
        <f>SUM(I77:I83)</f>
        <v/>
      </c>
      <c r="W84" s="52" t="n"/>
      <c r="X84" s="52" t="n"/>
      <c r="Y84" s="52" t="n"/>
    </row>
    <row r="85">
      <c r="W85" s="52" t="n"/>
      <c r="X85" s="52" t="n"/>
      <c r="Y85" s="52" t="n"/>
    </row>
    <row r="86">
      <c r="B86" s="59" t="inlineStr">
        <is>
          <t>WEEKEND CURRENT JOBS COMPLETED (AWAITING PAYMENT)</t>
        </is>
      </c>
      <c r="W86" s="52" t="n"/>
      <c r="X86" s="52" t="n"/>
      <c r="Y86" s="52" t="n"/>
    </row>
    <row r="87">
      <c r="W87" s="52" t="n"/>
      <c r="X87" s="52" t="n"/>
      <c r="Y87" s="52" t="n"/>
    </row>
    <row r="88">
      <c r="W88" s="52" t="n"/>
      <c r="X88" s="52" t="n"/>
      <c r="Y88" s="52" t="n"/>
    </row>
    <row r="89">
      <c r="W89" s="52" t="n"/>
      <c r="X89" s="52" t="n"/>
      <c r="Y89" s="52" t="n"/>
    </row>
    <row r="90">
      <c r="W90" s="52" t="n"/>
      <c r="X90" s="52" t="n"/>
      <c r="Y90" s="52" t="n"/>
    </row>
    <row r="91">
      <c r="W91" s="52" t="n"/>
      <c r="X91" s="52" t="n"/>
      <c r="Y91" s="52" t="n"/>
    </row>
    <row r="92">
      <c r="W92" s="52" t="n"/>
      <c r="X92" s="52" t="n"/>
      <c r="Y92" s="52" t="n"/>
    </row>
    <row r="93">
      <c r="F93" s="56">
        <f>SUM(F87:F92)</f>
        <v/>
      </c>
      <c r="G93" s="56">
        <f>SUM(G87:G92)</f>
        <v/>
      </c>
      <c r="H93" s="56">
        <f>SUM(H87:H92)</f>
        <v/>
      </c>
      <c r="I93" s="56">
        <f>SUM(I87:I92)</f>
        <v/>
      </c>
      <c r="W93" s="52" t="n"/>
      <c r="X93" s="52" t="n"/>
      <c r="Y93" s="52" t="n"/>
    </row>
    <row r="94">
      <c r="W94" s="52" t="n"/>
      <c r="X94" s="52" t="n"/>
      <c r="Y94" s="52" t="n"/>
    </row>
    <row r="95">
      <c r="B95" t="inlineStr">
        <is>
          <t>AFTERHOURS CURRENT JOBS COMPLETED (AWAITING PAYMENT)</t>
        </is>
      </c>
      <c r="W95" s="52" t="n"/>
      <c r="X95" s="52" t="n"/>
      <c r="Y95" s="52" t="n"/>
    </row>
    <row r="96">
      <c r="W96" s="52" t="n"/>
      <c r="X96" s="52" t="n"/>
      <c r="Y96" s="52" t="n"/>
    </row>
    <row r="97">
      <c r="W97" s="52" t="n"/>
      <c r="X97" s="52" t="n"/>
      <c r="Y97" s="52" t="n"/>
    </row>
    <row r="98">
      <c r="W98" s="52" t="n"/>
      <c r="X98" s="52" t="n"/>
      <c r="Y98" s="52" t="n"/>
    </row>
    <row r="99">
      <c r="W99" s="52" t="n"/>
      <c r="X99" s="52" t="n"/>
      <c r="Y99" s="52" t="n"/>
    </row>
    <row r="100">
      <c r="W100" s="52" t="n"/>
      <c r="X100" s="52" t="n"/>
      <c r="Y100" s="52" t="n"/>
    </row>
    <row r="101">
      <c r="W101" s="52" t="n"/>
      <c r="X101" s="52" t="n"/>
      <c r="Y101" s="52" t="n"/>
    </row>
    <row r="102">
      <c r="F102" s="56">
        <f>SUM(F96:F101)</f>
        <v/>
      </c>
      <c r="G102" s="56">
        <f>SUM(G96:G101)</f>
        <v/>
      </c>
      <c r="H102" s="56">
        <f>SUM(H96:H101)</f>
        <v/>
      </c>
      <c r="I102" s="56">
        <f>SUM(I96:I101)</f>
        <v/>
      </c>
      <c r="W102" s="52" t="n"/>
      <c r="X102" s="52" t="n"/>
      <c r="Y102" s="52" t="n"/>
    </row>
    <row r="103">
      <c r="W103" s="52" t="n"/>
      <c r="X103" s="52" t="n"/>
      <c r="Y103" s="52" t="n"/>
    </row>
    <row r="104">
      <c r="B104" s="59" t="inlineStr">
        <is>
          <t>CURRENT WORK ORDERS (AWAITING PAYMENT)</t>
        </is>
      </c>
      <c r="W104" s="52" t="n"/>
      <c r="X104" s="52" t="n"/>
      <c r="Y104" s="52" t="n"/>
    </row>
    <row r="105">
      <c r="B105" s="59" t="n">
        <v>1</v>
      </c>
      <c r="C105" s="59" t="inlineStr">
        <is>
          <t>24/11/2025</t>
        </is>
      </c>
      <c r="D105" s="59" t="n">
        <v>100260</v>
      </c>
      <c r="E105" s="59" t="inlineStr">
        <is>
          <t>South Yarra</t>
        </is>
      </c>
      <c r="F105" s="60" t="n">
        <v>17990.98</v>
      </c>
      <c r="G105" s="60" t="n">
        <v>3598.196</v>
      </c>
      <c r="I105" s="60">
        <f>F105-G105-H105</f>
        <v/>
      </c>
      <c r="J105" s="59" t="inlineStr">
        <is>
          <t>Credit Card, EFT/Bank Transfer</t>
        </is>
      </c>
      <c r="K105" s="61">
        <f>IF(OR(L105=0, M105=0, N105=0, O105=0, P105=0, Q105=0, R105=0, S105=0, T105=0), "N","Y")</f>
        <v/>
      </c>
      <c r="L105" s="59" t="n">
        <v>0</v>
      </c>
      <c r="M105" s="59" t="n">
        <v>0</v>
      </c>
      <c r="N105" s="59" t="n">
        <v>0</v>
      </c>
      <c r="O105" s="59" t="n">
        <v>0</v>
      </c>
      <c r="P105" s="59" t="n">
        <v>0</v>
      </c>
      <c r="Q105" s="59" t="n">
        <v>0</v>
      </c>
      <c r="R105" s="59" t="n">
        <v>0</v>
      </c>
      <c r="S105" s="59" t="n">
        <v>0</v>
      </c>
      <c r="T105" s="59" t="n">
        <v>0</v>
      </c>
      <c r="U105" s="59" t="n">
        <v>0</v>
      </c>
      <c r="W105" s="62">
        <f>10000.00+6500.00+1390.08+1900.00</f>
        <v/>
      </c>
      <c r="X105" s="52" t="n"/>
      <c r="Y105" s="52" t="n"/>
      <c r="Z105" s="55">
        <f>ROUND(F105*1.1,2)</f>
        <v/>
      </c>
      <c r="AA105" s="55">
        <f>ROUND(Z105 - W105 - X105 - Y105,2)</f>
        <v/>
      </c>
    </row>
    <row r="106">
      <c r="B106" s="59" t="n">
        <v>2</v>
      </c>
      <c r="C106" s="59" t="inlineStr">
        <is>
          <t>28/11/2025</t>
        </is>
      </c>
      <c r="D106" s="59" t="n">
        <v>100392</v>
      </c>
      <c r="E106" s="59" t="inlineStr">
        <is>
          <t>Beaumaris</t>
        </is>
      </c>
      <c r="F106" s="60" t="n">
        <v>1563.27</v>
      </c>
      <c r="G106" s="60" t="n">
        <v>312.654</v>
      </c>
      <c r="I106" s="60">
        <f>F106-G106-H106</f>
        <v/>
      </c>
      <c r="J106" s="59" t="inlineStr">
        <is>
          <t>Credit Card, EFT/Bank Transfer</t>
        </is>
      </c>
      <c r="K106" s="61">
        <f>IF(OR(L106=0, M106=0, N106=0, O106=0, P106=0, Q106=0, R106=0, S106=0, T106=0), "N","Y")</f>
        <v/>
      </c>
      <c r="L106" s="59" t="n">
        <v>0</v>
      </c>
      <c r="M106" s="59" t="n">
        <v>0</v>
      </c>
      <c r="N106" s="59" t="n">
        <v>0</v>
      </c>
      <c r="O106" s="59" t="n">
        <v>0</v>
      </c>
      <c r="P106" s="59" t="n">
        <v>0</v>
      </c>
      <c r="Q106" s="59" t="n">
        <v>0</v>
      </c>
      <c r="R106" s="59" t="n">
        <v>0</v>
      </c>
      <c r="S106" s="59" t="n">
        <v>0</v>
      </c>
      <c r="T106" s="59" t="n">
        <v>0</v>
      </c>
      <c r="U106" s="59" t="n">
        <v>0</v>
      </c>
      <c r="W106" s="62">
        <f>1549.60+170.00</f>
        <v/>
      </c>
      <c r="X106" s="52" t="n"/>
      <c r="Y106" s="52" t="n"/>
      <c r="Z106" s="55">
        <f>ROUND(F106*1.1,2)</f>
        <v/>
      </c>
      <c r="AA106" s="55">
        <f>ROUND(Z106 - W106 - X106 - Y106,2)</f>
        <v/>
      </c>
    </row>
    <row r="107">
      <c r="W107" s="52" t="n"/>
      <c r="X107" s="52" t="n"/>
      <c r="Y107" s="52" t="n"/>
    </row>
    <row r="108">
      <c r="W108" s="52" t="n"/>
      <c r="X108" s="52" t="n"/>
      <c r="Y108" s="52" t="n"/>
    </row>
    <row r="109">
      <c r="W109" s="52" t="n"/>
      <c r="X109" s="52" t="n"/>
      <c r="Y109" s="52" t="n"/>
    </row>
    <row r="110">
      <c r="W110" s="52" t="n"/>
      <c r="X110" s="52" t="n"/>
      <c r="Y110" s="52" t="n"/>
    </row>
    <row r="111">
      <c r="W111" s="52" t="n"/>
      <c r="X111" s="52" t="n"/>
      <c r="Y111" s="52" t="n"/>
    </row>
    <row r="112">
      <c r="F112" s="56">
        <f>SUM(F105:F111)</f>
        <v/>
      </c>
      <c r="G112" s="56">
        <f>SUM(G105:G111)</f>
        <v/>
      </c>
      <c r="H112" s="56">
        <f>SUM(H105:H111)</f>
        <v/>
      </c>
      <c r="I112" s="56">
        <f>SUM(I105:I111)</f>
        <v/>
      </c>
      <c r="W112" s="52" t="n"/>
      <c r="X112" s="52" t="n"/>
      <c r="Y112" s="52" t="n"/>
    </row>
    <row r="113">
      <c r="W113" s="52" t="n"/>
      <c r="X113" s="52" t="n"/>
      <c r="Y113" s="52" t="n"/>
    </row>
    <row r="114">
      <c r="B114" s="59" t="inlineStr">
        <is>
          <t>WEEKEND WORK ORDERS (AWAITING PAYMENT)</t>
        </is>
      </c>
      <c r="W114" s="52" t="n"/>
      <c r="X114" s="52" t="n"/>
      <c r="Y114" s="52" t="n"/>
    </row>
    <row r="115">
      <c r="W115" s="52" t="n"/>
      <c r="X115" s="52" t="n"/>
      <c r="Y115" s="52" t="n"/>
    </row>
    <row r="116">
      <c r="W116" s="52" t="n"/>
      <c r="X116" s="52" t="n"/>
      <c r="Y116" s="52" t="n"/>
    </row>
    <row r="117">
      <c r="W117" s="52" t="n"/>
      <c r="X117" s="52" t="n"/>
      <c r="Y117" s="52" t="n"/>
    </row>
    <row r="118">
      <c r="W118" s="52" t="n"/>
      <c r="X118" s="52" t="n"/>
      <c r="Y118" s="52" t="n"/>
    </row>
    <row r="119">
      <c r="W119" s="52" t="n"/>
      <c r="X119" s="52" t="n"/>
      <c r="Y119" s="52" t="n"/>
    </row>
    <row r="120">
      <c r="W120" s="52" t="n"/>
      <c r="X120" s="52" t="n"/>
      <c r="Y120" s="52" t="n"/>
    </row>
    <row r="121">
      <c r="F121" s="56">
        <f>SUM(F115:F120)</f>
        <v/>
      </c>
      <c r="G121" s="56">
        <f>SUM(G115:G120)</f>
        <v/>
      </c>
      <c r="H121" s="56">
        <f>SUM(H115:H120)</f>
        <v/>
      </c>
      <c r="I121" s="56">
        <f>SUM(I115:I120)</f>
        <v/>
      </c>
      <c r="W121" s="52" t="n"/>
      <c r="X121" s="52" t="n"/>
      <c r="Y121" s="52" t="n"/>
    </row>
    <row r="122">
      <c r="W122" s="52" t="n"/>
      <c r="X122" s="52" t="n"/>
      <c r="Y122" s="52" t="n"/>
    </row>
    <row r="123">
      <c r="B123" t="inlineStr">
        <is>
          <t>AFTERHOURS WORK ORDERS (AWAITING PAYMENT)</t>
        </is>
      </c>
      <c r="W123" s="52" t="n"/>
      <c r="X123" s="52" t="n"/>
      <c r="Y123" s="52" t="n"/>
    </row>
    <row r="124">
      <c r="W124" s="52" t="n"/>
      <c r="X124" s="52" t="n"/>
      <c r="Y124" s="52" t="n"/>
    </row>
    <row r="125">
      <c r="W125" s="52" t="n"/>
      <c r="X125" s="52" t="n"/>
      <c r="Y125" s="52" t="n"/>
    </row>
    <row r="126">
      <c r="W126" s="52" t="n"/>
      <c r="X126" s="52" t="n"/>
      <c r="Y126" s="52" t="n"/>
    </row>
    <row r="127">
      <c r="W127" s="52" t="n"/>
      <c r="X127" s="52" t="n"/>
      <c r="Y127" s="52" t="n"/>
    </row>
    <row r="128">
      <c r="W128" s="52" t="n"/>
      <c r="X128" s="52" t="n"/>
      <c r="Y128" s="52" t="n"/>
    </row>
    <row r="129">
      <c r="W129" s="52" t="n"/>
      <c r="X129" s="52" t="n"/>
      <c r="Y129" s="52" t="n"/>
    </row>
    <row r="130">
      <c r="F130" s="56">
        <f>SUM(F124:F129)</f>
        <v/>
      </c>
      <c r="G130" s="56">
        <f>SUM(G124:G129)</f>
        <v/>
      </c>
      <c r="H130" s="56">
        <f>SUM(H124:H129)</f>
        <v/>
      </c>
      <c r="I130" s="56">
        <f>SUM(I124:I129)</f>
        <v/>
      </c>
      <c r="W130" s="52" t="n"/>
      <c r="X130" s="52" t="n"/>
      <c r="Y130" s="52" t="n"/>
    </row>
    <row r="131">
      <c r="W131" s="52" t="n"/>
      <c r="X131" s="52" t="n"/>
      <c r="Y131" s="52" t="n"/>
    </row>
    <row r="132">
      <c r="B132" t="inlineStr">
        <is>
          <t>UNSUCCESSFUL JOBS</t>
        </is>
      </c>
      <c r="W132" s="52" t="n"/>
      <c r="X132" s="52" t="n"/>
      <c r="Y132" s="52" t="n"/>
    </row>
    <row r="133">
      <c r="W133" s="52" t="n"/>
      <c r="X133" s="52" t="n"/>
      <c r="Y133" s="52" t="n"/>
    </row>
    <row r="134">
      <c r="W134" s="52" t="n"/>
      <c r="X134" s="52" t="n"/>
      <c r="Y134" s="52" t="n"/>
    </row>
    <row r="135">
      <c r="W135" s="52" t="n"/>
      <c r="X135" s="52" t="n"/>
      <c r="Y135" s="52" t="n"/>
    </row>
    <row r="136">
      <c r="W136" s="52" t="n"/>
      <c r="X136" s="52" t="n"/>
      <c r="Y136" s="52" t="n"/>
    </row>
    <row r="137">
      <c r="W137" s="52" t="n"/>
      <c r="X137" s="52" t="n"/>
      <c r="Y137" s="52" t="n"/>
    </row>
    <row r="138">
      <c r="W138" s="52" t="n"/>
      <c r="X138" s="52" t="n"/>
      <c r="Y138" s="52" t="n"/>
    </row>
    <row r="139">
      <c r="F139" s="56">
        <f>SUM(F133:F138)</f>
        <v/>
      </c>
      <c r="G139" s="56">
        <f>SUM(G133:G138)</f>
        <v/>
      </c>
      <c r="H139" s="56">
        <f>SUM(H133:H138)</f>
        <v/>
      </c>
      <c r="I139" s="56">
        <f>SUM(I133:I138)</f>
        <v/>
      </c>
      <c r="W139" s="52" t="n"/>
      <c r="X139" s="52" t="n"/>
      <c r="Y139" s="52" t="n"/>
    </row>
    <row r="140">
      <c r="W140" s="52" t="n"/>
      <c r="X140" s="52" t="n"/>
      <c r="Y140" s="52" t="n"/>
    </row>
    <row r="141">
      <c r="B141" t="inlineStr">
        <is>
          <t>WEEKEND UNSUCCESSFUL JOBS</t>
        </is>
      </c>
      <c r="W141" s="52" t="n"/>
      <c r="X141" s="52" t="n"/>
      <c r="Y141" s="52" t="n"/>
    </row>
    <row r="142">
      <c r="W142" s="52" t="n"/>
      <c r="X142" s="52" t="n"/>
      <c r="Y142" s="52" t="n"/>
    </row>
    <row r="143">
      <c r="W143" s="52" t="n"/>
      <c r="X143" s="52" t="n"/>
      <c r="Y143" s="52" t="n"/>
    </row>
    <row r="144">
      <c r="W144" s="52" t="n"/>
      <c r="X144" s="52" t="n"/>
      <c r="Y144" s="52" t="n"/>
    </row>
    <row r="145">
      <c r="W145" s="52" t="n"/>
      <c r="X145" s="52" t="n"/>
      <c r="Y145" s="52" t="n"/>
    </row>
    <row r="146">
      <c r="W146" s="52" t="n"/>
      <c r="X146" s="52" t="n"/>
      <c r="Y146" s="52" t="n"/>
    </row>
    <row r="147">
      <c r="W147" s="52" t="n"/>
      <c r="X147" s="52" t="n"/>
      <c r="Y147" s="52" t="n"/>
    </row>
    <row r="148">
      <c r="F148" s="56">
        <f>SUM(F142:F147)</f>
        <v/>
      </c>
      <c r="G148" s="56">
        <f>SUM(G142:G147)</f>
        <v/>
      </c>
      <c r="H148" s="56">
        <f>SUM(H142:H147)</f>
        <v/>
      </c>
      <c r="I148" s="56">
        <f>SUM(I142:I147)</f>
        <v/>
      </c>
      <c r="W148" s="52" t="n"/>
      <c r="X148" s="52" t="n"/>
      <c r="Y148" s="52" t="n"/>
    </row>
    <row r="149">
      <c r="W149" s="52" t="n"/>
      <c r="X149" s="52" t="n"/>
      <c r="Y149" s="52" t="n"/>
    </row>
    <row r="150">
      <c r="B150" t="inlineStr">
        <is>
          <t>AFTERHOURS UNSUCCESSFUL JOBS</t>
        </is>
      </c>
      <c r="W150" s="52" t="n"/>
      <c r="X150" s="52" t="n"/>
      <c r="Y150" s="52" t="n"/>
    </row>
    <row r="151">
      <c r="W151" s="52" t="n"/>
      <c r="X151" s="52" t="n"/>
      <c r="Y151" s="52" t="n"/>
    </row>
    <row r="152">
      <c r="W152" s="52" t="n"/>
      <c r="X152" s="52" t="n"/>
      <c r="Y152" s="52" t="n"/>
    </row>
    <row r="153">
      <c r="W153" s="52" t="n"/>
      <c r="X153" s="52" t="n"/>
      <c r="Y153" s="52" t="n"/>
    </row>
    <row r="154">
      <c r="W154" s="52" t="n"/>
      <c r="X154" s="52" t="n"/>
      <c r="Y154" s="52" t="n"/>
    </row>
    <row r="155">
      <c r="W155" s="52" t="n"/>
      <c r="X155" s="52" t="n"/>
      <c r="Y155" s="52" t="n"/>
    </row>
    <row r="156">
      <c r="W156" s="52" t="n"/>
      <c r="X156" s="52" t="n"/>
      <c r="Y156" s="52" t="n"/>
    </row>
    <row r="157">
      <c r="F157" s="56">
        <f>SUM(F151:F156)</f>
        <v/>
      </c>
      <c r="G157" s="56">
        <f>SUM(G151:G156)</f>
        <v/>
      </c>
      <c r="H157" s="56">
        <f>SUM(H151:H156)</f>
        <v/>
      </c>
      <c r="I157" s="56">
        <f>SUM(I151:I156)</f>
        <v/>
      </c>
      <c r="W157" s="52" t="n"/>
      <c r="X157" s="52" t="n"/>
      <c r="Y157" s="52" t="n"/>
    </row>
    <row r="158">
      <c r="W158" s="52" t="n"/>
      <c r="X158" s="52" t="n"/>
      <c r="Y158" s="52" t="n"/>
    </row>
    <row r="159">
      <c r="B159" t="inlineStr">
        <is>
          <t>WEEK UNCATEGORISED</t>
        </is>
      </c>
      <c r="W159" s="52" t="n"/>
      <c r="X159" s="52" t="n"/>
      <c r="Y159" s="52" t="n"/>
    </row>
    <row r="160">
      <c r="W160" s="52" t="n"/>
      <c r="X160" s="52" t="n"/>
      <c r="Y160" s="52" t="n"/>
    </row>
    <row r="161">
      <c r="W161" s="52" t="n"/>
      <c r="X161" s="52" t="n"/>
      <c r="Y161" s="52" t="n"/>
    </row>
    <row r="162">
      <c r="W162" s="52" t="n"/>
      <c r="X162" s="52" t="n"/>
      <c r="Y162" s="52" t="n"/>
    </row>
    <row r="163">
      <c r="W163" s="52" t="n"/>
      <c r="X163" s="52" t="n"/>
      <c r="Y163" s="52" t="n"/>
    </row>
    <row r="164">
      <c r="W164" s="52" t="n"/>
      <c r="X164" s="52" t="n"/>
      <c r="Y164" s="52" t="n"/>
    </row>
    <row r="165">
      <c r="W165" s="52" t="n"/>
      <c r="X165" s="52" t="n"/>
      <c r="Y165" s="52" t="n"/>
    </row>
    <row r="166">
      <c r="F166" s="56">
        <f>SUM(F160:F165)</f>
        <v/>
      </c>
      <c r="G166" s="56">
        <f>SUM(G160:G165)</f>
        <v/>
      </c>
      <c r="H166" s="56">
        <f>SUM(H160:H165)</f>
        <v/>
      </c>
      <c r="I166" s="56">
        <f>SUM(I160:I165)</f>
        <v/>
      </c>
      <c r="W166" s="52" t="n"/>
      <c r="X166" s="52" t="n"/>
      <c r="Y166" s="52" t="n"/>
    </row>
    <row r="167">
      <c r="W167" s="52" t="n"/>
      <c r="X167" s="52" t="n"/>
      <c r="Y167" s="52" t="n"/>
    </row>
    <row r="168">
      <c r="B168" t="inlineStr">
        <is>
          <t>WEEKEND UNCATEGORISED</t>
        </is>
      </c>
      <c r="W168" s="52" t="n"/>
      <c r="X168" s="52" t="n"/>
      <c r="Y168" s="52" t="n"/>
    </row>
    <row r="169">
      <c r="W169" s="52" t="n"/>
      <c r="X169" s="52" t="n"/>
      <c r="Y169" s="52" t="n"/>
    </row>
    <row r="170">
      <c r="W170" s="52" t="n"/>
      <c r="X170" s="52" t="n"/>
      <c r="Y170" s="52" t="n"/>
    </row>
    <row r="171">
      <c r="W171" s="52" t="n"/>
      <c r="X171" s="52" t="n"/>
      <c r="Y171" s="52" t="n"/>
    </row>
    <row r="172">
      <c r="W172" s="52" t="n"/>
      <c r="X172" s="52" t="n"/>
      <c r="Y172" s="52" t="n"/>
    </row>
    <row r="173">
      <c r="W173" s="52" t="n"/>
      <c r="X173" s="52" t="n"/>
      <c r="Y173" s="52" t="n"/>
    </row>
    <row r="174">
      <c r="W174" s="52" t="n"/>
      <c r="X174" s="52" t="n"/>
      <c r="Y174" s="52" t="n"/>
    </row>
    <row r="175">
      <c r="F175" s="56">
        <f>SUM(F169:F174)</f>
        <v/>
      </c>
      <c r="G175" s="56">
        <f>SUM(G169:G174)</f>
        <v/>
      </c>
      <c r="H175" s="56">
        <f>SUM(H169:H174)</f>
        <v/>
      </c>
      <c r="I175" s="56">
        <f>SUM(I169:I174)</f>
        <v/>
      </c>
      <c r="W175" s="52" t="n"/>
      <c r="X175" s="52" t="n"/>
      <c r="Y175" s="52" t="n"/>
    </row>
    <row r="176">
      <c r="W176" s="52" t="n"/>
      <c r="X176" s="52" t="n"/>
      <c r="Y176" s="52" t="n"/>
    </row>
    <row r="177">
      <c r="B177" t="inlineStr">
        <is>
          <t>AFTERHOURS UNCATEGORISED</t>
        </is>
      </c>
      <c r="W177" s="52" t="n"/>
      <c r="X177" s="52" t="n"/>
      <c r="Y177" s="52" t="n"/>
    </row>
    <row r="178">
      <c r="W178" s="52" t="n"/>
      <c r="X178" s="52" t="n"/>
      <c r="Y178" s="52" t="n"/>
    </row>
    <row r="179">
      <c r="W179" s="52" t="n"/>
      <c r="X179" s="52" t="n"/>
      <c r="Y179" s="52" t="n"/>
    </row>
    <row r="180">
      <c r="W180" s="52" t="n"/>
      <c r="X180" s="52" t="n"/>
      <c r="Y180" s="52" t="n"/>
    </row>
    <row r="181">
      <c r="W181" s="52" t="n"/>
      <c r="X181" s="52" t="n"/>
      <c r="Y181" s="52" t="n"/>
    </row>
    <row r="182">
      <c r="W182" s="52" t="n"/>
      <c r="X182" s="52" t="n"/>
      <c r="Y182" s="52" t="n"/>
    </row>
    <row r="183">
      <c r="W183" s="52" t="n"/>
      <c r="X183" s="52" t="n"/>
      <c r="Y183" s="52" t="n"/>
    </row>
    <row r="184">
      <c r="F184" s="56">
        <f>SUM(F178:F183)</f>
        <v/>
      </c>
      <c r="G184" s="56">
        <f>SUM(G178:G183)</f>
        <v/>
      </c>
      <c r="H184" s="56">
        <f>SUM(H178:H183)</f>
        <v/>
      </c>
      <c r="I184" s="56">
        <f>SUM(I178:I183)</f>
        <v/>
      </c>
    </row>
  </sheetData>
  <conditionalFormatting sqref="K29:U38">
    <cfRule type="cellIs" priority="1" operator="equal" dxfId="0">
      <formula>0</formula>
    </cfRule>
  </conditionalFormatting>
  <conditionalFormatting sqref="K43:U48">
    <cfRule type="cellIs" priority="2" operator="equal" dxfId="0">
      <formula>0</formula>
    </cfRule>
  </conditionalFormatting>
  <conditionalFormatting sqref="K52:U57">
    <cfRule type="cellIs" priority="3" operator="equal" dxfId="0">
      <formula>0</formula>
    </cfRule>
  </conditionalFormatting>
  <conditionalFormatting sqref="K61:U73">
    <cfRule type="cellIs" priority="4" operator="equal" dxfId="0">
      <formula>0</formula>
    </cfRule>
  </conditionalFormatting>
  <conditionalFormatting sqref="K77:U83">
    <cfRule type="cellIs" priority="5" operator="equal" dxfId="0">
      <formula>0</formula>
    </cfRule>
  </conditionalFormatting>
  <conditionalFormatting sqref="K87:U92">
    <cfRule type="cellIs" priority="6" operator="equal" dxfId="0">
      <formula>0</formula>
    </cfRule>
  </conditionalFormatting>
  <conditionalFormatting sqref="K96:U101">
    <cfRule type="cellIs" priority="7" operator="equal" dxfId="0">
      <formula>0</formula>
    </cfRule>
  </conditionalFormatting>
  <conditionalFormatting sqref="K105:U111">
    <cfRule type="cellIs" priority="8" operator="equal" dxfId="0">
      <formula>0</formula>
    </cfRule>
  </conditionalFormatting>
  <conditionalFormatting sqref="K115:U120">
    <cfRule type="cellIs" priority="9" operator="equal" dxfId="0">
      <formula>0</formula>
    </cfRule>
  </conditionalFormatting>
  <conditionalFormatting sqref="K124:U129">
    <cfRule type="cellIs" priority="10" operator="equal" dxfId="0">
      <formula>0</formula>
    </cfRule>
  </conditionalFormatting>
  <conditionalFormatting sqref="K133:U138">
    <cfRule type="cellIs" priority="11" operator="equal" dxfId="0">
      <formula>0</formula>
    </cfRule>
  </conditionalFormatting>
  <conditionalFormatting sqref="K142:U147">
    <cfRule type="cellIs" priority="12" operator="equal" dxfId="0">
      <formula>0</formula>
    </cfRule>
  </conditionalFormatting>
  <conditionalFormatting sqref="K151:U156">
    <cfRule type="cellIs" priority="13" operator="equal" dxfId="0">
      <formula>0</formula>
    </cfRule>
  </conditionalFormatting>
  <conditionalFormatting sqref="K160:U165">
    <cfRule type="cellIs" priority="14" operator="equal" dxfId="0">
      <formula>0</formula>
    </cfRule>
  </conditionalFormatting>
  <conditionalFormatting sqref="K169:U174">
    <cfRule type="cellIs" priority="15" operator="equal" dxfId="0">
      <formula>0</formula>
    </cfRule>
  </conditionalFormatting>
  <conditionalFormatting sqref="K178:U183">
    <cfRule type="cellIs" priority="16" operator="equal" dxfId="0">
      <formula>0</formula>
    </cfRule>
  </conditionalFormatting>
  <conditionalFormatting sqref="I29:I48">
    <cfRule type="expression" priority="17" dxfId="1">
      <formula>$K29="N"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3da813"/>
    <outlinePr summaryBelow="1" summaryRight="1"/>
    <pageSetUpPr/>
  </sheetPr>
  <dimension ref="A1:AA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WEEKLY COMMISSION</t>
        </is>
      </c>
      <c r="F1" s="2" t="inlineStr">
        <is>
          <t>WEEK ENDING</t>
        </is>
      </c>
      <c r="G1" s="2" t="inlineStr">
        <is>
          <t>30/11/2025</t>
        </is>
      </c>
    </row>
    <row r="2">
      <c r="K2" s="3" t="inlineStr">
        <is>
          <t>PHOTOS</t>
        </is>
      </c>
      <c r="L2" s="4" t="n"/>
      <c r="M2" s="4" t="n"/>
      <c r="N2" s="3" t="inlineStr">
        <is>
          <t>QUOTE</t>
        </is>
      </c>
      <c r="O2" s="4" t="n"/>
      <c r="P2" s="4" t="n"/>
      <c r="Q2" s="3" t="inlineStr">
        <is>
          <t>INVOICE</t>
        </is>
      </c>
      <c r="R2" s="4" t="n"/>
      <c r="S2" s="5" t="n"/>
      <c r="T2" s="5" t="n"/>
    </row>
    <row r="3">
      <c r="B3" s="3" t="inlineStr">
        <is>
          <t>BOOKED JOBS</t>
        </is>
      </c>
      <c r="C3" s="6">
        <f>B4+B5</f>
        <v/>
      </c>
      <c r="E3" s="3" t="inlineStr">
        <is>
          <t>WEEKLY TARGET</t>
        </is>
      </c>
      <c r="F3" s="4" t="n"/>
      <c r="G3" s="5" t="n"/>
      <c r="K3" s="7" t="inlineStr">
        <is>
          <t>BEFORE</t>
        </is>
      </c>
      <c r="L3" s="8" t="inlineStr">
        <is>
          <t>AFTER</t>
        </is>
      </c>
      <c r="M3" s="8" t="inlineStr">
        <is>
          <t>RECEIPT</t>
        </is>
      </c>
      <c r="N3" s="7" t="inlineStr">
        <is>
          <t>DESCRIPTION</t>
        </is>
      </c>
      <c r="O3" s="8" t="inlineStr">
        <is>
          <t>SIGNED</t>
        </is>
      </c>
      <c r="P3" s="8" t="inlineStr">
        <is>
          <t>EMAILED</t>
        </is>
      </c>
      <c r="Q3" s="7" t="inlineStr">
        <is>
          <t>DESCRIPTION</t>
        </is>
      </c>
      <c r="R3" s="8" t="inlineStr">
        <is>
          <t>SIGNED</t>
        </is>
      </c>
      <c r="S3" s="8" t="inlineStr">
        <is>
          <t>EMAILED</t>
        </is>
      </c>
      <c r="T3" s="9" t="inlineStr">
        <is>
          <t>5 Star Review</t>
        </is>
      </c>
    </row>
    <row r="4">
      <c r="B4" s="1" t="inlineStr">
        <is>
          <t>SUCCESSFUL</t>
        </is>
      </c>
      <c r="C4" s="10">
        <f>O11</f>
        <v/>
      </c>
      <c r="E4" s="11" t="inlineStr">
        <is>
          <t>Tier 1</t>
        </is>
      </c>
      <c r="F4" t="inlineStr">
        <is>
          <t>&lt;$25000</t>
        </is>
      </c>
      <c r="G4" s="12">
        <f>0.05</f>
        <v/>
      </c>
      <c r="J4" s="3" t="inlineStr">
        <is>
          <t>TAKEN</t>
        </is>
      </c>
      <c r="K4" s="13">
        <f>L39</f>
        <v/>
      </c>
      <c r="L4" s="13">
        <f>M39</f>
        <v/>
      </c>
      <c r="M4" s="13">
        <f>N39</f>
        <v/>
      </c>
      <c r="N4" s="13">
        <f>O39</f>
        <v/>
      </c>
      <c r="O4" s="13">
        <f>P39</f>
        <v/>
      </c>
      <c r="P4" s="13">
        <f>Q39</f>
        <v/>
      </c>
      <c r="Q4" s="13">
        <f>R39</f>
        <v/>
      </c>
      <c r="R4" s="13">
        <f>S39</f>
        <v/>
      </c>
      <c r="S4" s="13">
        <f>T39</f>
        <v/>
      </c>
      <c r="T4" s="14">
        <f>SUM(U29:U37) + SUM(U42:U47) + SUM(U76:U81) + SUM(U85:U90) + SUM(U103:U108) + SUM(U112:U117)</f>
        <v/>
      </c>
    </row>
    <row r="5">
      <c r="B5" s="1" t="inlineStr">
        <is>
          <t>UNSUCCESSFUL</t>
        </is>
      </c>
      <c r="C5" s="10">
        <f>O12</f>
        <v/>
      </c>
      <c r="E5" s="15" t="inlineStr">
        <is>
          <t>Tier 2</t>
        </is>
      </c>
      <c r="F5" s="16" t="inlineStr">
        <is>
          <t>&gt;=$25000</t>
        </is>
      </c>
      <c r="G5" s="17">
        <f>0.1</f>
        <v/>
      </c>
      <c r="J5" s="7" t="inlineStr">
        <is>
          <t>%</t>
        </is>
      </c>
      <c r="K5" s="18">
        <f>L39/L38</f>
        <v/>
      </c>
      <c r="L5" s="18">
        <f>M39/M38</f>
        <v/>
      </c>
      <c r="M5" s="18">
        <f>N39/N38</f>
        <v/>
      </c>
      <c r="N5" s="18">
        <f>O39/O38</f>
        <v/>
      </c>
      <c r="O5" s="18">
        <f>P39/P38</f>
        <v/>
      </c>
      <c r="P5" s="18">
        <f>Q39/Q38</f>
        <v/>
      </c>
      <c r="Q5" s="18">
        <f>R39/R38</f>
        <v/>
      </c>
      <c r="R5" s="18">
        <f>S39/S38</f>
        <v/>
      </c>
      <c r="S5" s="18">
        <f>T39/T38</f>
        <v/>
      </c>
      <c r="T5" s="19" t="n"/>
    </row>
    <row r="6">
      <c r="B6" s="1" t="inlineStr">
        <is>
          <t>SUCCESSFUL (%)</t>
        </is>
      </c>
      <c r="C6" s="20">
        <f>O13</f>
        <v/>
      </c>
    </row>
    <row r="7">
      <c r="C7" s="21" t="n"/>
      <c r="F7" s="3" t="inlineStr">
        <is>
          <t>ACTUAL</t>
        </is>
      </c>
      <c r="G7" s="6" t="inlineStr">
        <is>
          <t>POTENTIAL</t>
        </is>
      </c>
      <c r="H7" s="22" t="inlineStr">
        <is>
          <t>Exc. SUPER</t>
        </is>
      </c>
    </row>
    <row r="8">
      <c r="B8" s="7" t="inlineStr">
        <is>
          <t>AVERAGE SALE</t>
        </is>
      </c>
      <c r="C8" s="23">
        <f>O14</f>
        <v/>
      </c>
      <c r="E8" s="3" t="inlineStr">
        <is>
          <t>NET PROFIT</t>
        </is>
      </c>
      <c r="F8" s="24">
        <f>P10-R10</f>
        <v/>
      </c>
      <c r="G8" s="25">
        <f>SUM(I29:I37) + SUM(I76:I81) + SUM(I103:I108) + SUM(I130:I135)</f>
        <v/>
      </c>
      <c r="K8" s="3" t="inlineStr">
        <is>
          <t>DAILY NET PROFIT</t>
        </is>
      </c>
      <c r="L8" s="4" t="n"/>
      <c r="M8" s="4" t="n"/>
      <c r="N8" s="4" t="n"/>
      <c r="O8" s="4" t="n"/>
      <c r="P8" s="4" t="n"/>
      <c r="Q8" s="4" t="n"/>
      <c r="R8" s="26" t="inlineStr">
        <is>
          <t>WEEKDAY</t>
        </is>
      </c>
      <c r="S8" s="27" t="inlineStr">
        <is>
          <t>WEEKEND</t>
        </is>
      </c>
    </row>
    <row r="9">
      <c r="E9" s="13" t="inlineStr">
        <is>
          <t>UNLOCKED</t>
        </is>
      </c>
      <c r="F9" s="28">
        <f>IF(P10&gt;=25000,G5,G4)</f>
        <v/>
      </c>
      <c r="G9" s="29">
        <f>=IF(G8&gt;=25000,G5,G4)</f>
        <v/>
      </c>
      <c r="K9" s="3" t="inlineStr">
        <is>
          <t>MON</t>
        </is>
      </c>
      <c r="L9" s="30" t="inlineStr">
        <is>
          <t>TUE</t>
        </is>
      </c>
      <c r="M9" s="30" t="inlineStr">
        <is>
          <t>WED</t>
        </is>
      </c>
      <c r="N9" s="30" t="inlineStr">
        <is>
          <t>THU</t>
        </is>
      </c>
      <c r="O9" s="30" t="inlineStr">
        <is>
          <t>FRI</t>
        </is>
      </c>
      <c r="P9" s="30" t="inlineStr">
        <is>
          <t>Total</t>
        </is>
      </c>
      <c r="Q9" s="31" t="inlineStr">
        <is>
          <t>SAT</t>
        </is>
      </c>
      <c r="R9" s="26" t="inlineStr">
        <is>
          <t>Awaiting Payment</t>
        </is>
      </c>
      <c r="S9" s="27" t="inlineStr">
        <is>
          <t>Awaiting Payment</t>
        </is>
      </c>
    </row>
    <row r="10">
      <c r="E10" s="13" t="inlineStr">
        <is>
          <t>COMMISSION - PAY OUT</t>
        </is>
      </c>
      <c r="F10" s="32">
        <f>F8*F9</f>
        <v/>
      </c>
      <c r="G10" s="33">
        <f>G8*G9</f>
        <v/>
      </c>
      <c r="H10" s="34">
        <f>F10/1.12</f>
        <v/>
      </c>
      <c r="K10" s="35">
        <f>SUMIF(C29:C37, "24/11/2025", I29:I37) + SUMIF(C42:C47, "24/11/2025", I42:I47) + SUMIF(C76:C81, "24/11/2025", I76:I81) + SUMIF(C85:C90, "24/11/2025", I85:I90) + SUMIF(C103:C108, "24/11/2025", I103:I108) + SUMIF(C112:C117, "24/11/2025", I112:I117)</f>
        <v/>
      </c>
      <c r="L10" s="36">
        <f>SUMIF(C29:C37, "25/11/2025", I29:I37) + SUMIF(C42:C47, "25/11/2025", I42:I47) + SUMIF(C76:C81, "25/11/2025", I76:I81) + SUMIF(C85:C90, "25/11/2025", I85:I90) + SUMIF(C103:C108, "25/11/2025", I103:I108) + SUMIF(C112:C117, "25/11/2025", I112:I117)</f>
        <v/>
      </c>
      <c r="M10" s="36">
        <f>SUMIF(C29:C37, "26/11/2025", I29:I37) + SUMIF(C42:C47, "26/11/2025", I42:I47) + SUMIF(C76:C81, "26/11/2025", I76:I81) + SUMIF(C85:C90, "26/11/2025", I85:I90) + SUMIF(C103:C108, "26/11/2025", I103:I108) + SUMIF(C112:C117, "26/11/2025", I112:I117)</f>
        <v/>
      </c>
      <c r="N10" s="36">
        <f>SUMIF(C29:C37, "27/11/2025", I29:I37) + SUMIF(C42:C47, "27/11/2025", I42:I47) + SUMIF(C76:C81, "27/11/2025", I76:I81) + SUMIF(C85:C90, "27/11/2025", I85:I90) + SUMIF(C103:C108, "27/11/2025", I103:I108) + SUMIF(C112:C117, "27/11/2025", I112:I117)</f>
        <v/>
      </c>
      <c r="O10" s="36">
        <f>SUMIF(C29:C37, "28/11/2025", I29:I37) + SUMIF(C42:C47, "28/11/2025", I42:I47) + SUMIF(C76:C81, "28/11/2025", I76:I81) + SUMIF(C85:C90, "28/11/2025", I85:I90) + SUMIF(C103:C108, "28/11/2025", I103:I108) + SUMIF(C112:C117, "28/11/2025", I112:I117)</f>
        <v/>
      </c>
      <c r="P10" s="36">
        <f>SUM(J10:N10)</f>
        <v/>
      </c>
      <c r="Q10" s="37">
        <f>SUMIF(C29:C37, "29/11/2025", I29:I37) + SUMIF(C42:C47, "29/11/2025", I42:I47) + SUMIF(C76:C81, "29/11/2025", I76:I81) + SUMIF(C85:C90, "29/11/2025", I85:I90) + SUMIF(C103:C108, "29/11/2025", I103:I108) + SUMIF(C112:C117, "29/11/2025", I112:I117)</f>
        <v/>
      </c>
      <c r="R10" s="38">
        <f>SUM(I76:I81) + SUM(I103:I108)</f>
        <v/>
      </c>
      <c r="S10" s="39">
        <f>SUM(I85:I90) + SUM(I112:I117)</f>
        <v/>
      </c>
    </row>
    <row r="11">
      <c r="E11" s="13" t="inlineStr">
        <is>
          <t>EMERGENCY</t>
        </is>
      </c>
      <c r="F11" s="32">
        <f>P10</f>
        <v/>
      </c>
      <c r="G11" s="21" t="n"/>
      <c r="J11" t="inlineStr">
        <is>
          <t>Successful</t>
        </is>
      </c>
      <c r="K11">
        <f>COUNTIF(C29:C37, "24/11/2025") + COUNTIF(C42:C47, "24/11/2025") + COUNTIF(C76:C81, "24/11/2025") + COUNTIF(C85:C90, "24/11/2025") + COUNTIF(C103:C108, "24/11/2025") + COUNTIF(C112:C117, "24/11/2025")</f>
        <v/>
      </c>
      <c r="L11">
        <f>COUNTIF(C29:C37, "25/11/2025") + COUNTIF(C42:C47, "25/11/2025") + COUNTIF(C76:C81, "25/11/2025") + COUNTIF(C85:C90, "25/11/2025") + COUNTIF(C103:C108, "25/11/2025") + COUNTIF(C112:C117, "25/11/2025")</f>
        <v/>
      </c>
      <c r="M11">
        <f>COUNTIF(C29:C37, "26/11/2025") + COUNTIF(C42:C47, "26/11/2025") + COUNTIF(C76:C81, "26/11/2025") + COUNTIF(C85:C90, "26/11/2025") + COUNTIF(C103:C108, "26/11/2025") + COUNTIF(C112:C117, "26/11/2025")</f>
        <v/>
      </c>
      <c r="N11">
        <f>COUNTIF(C29:C37, "27/11/2025") + COUNTIF(C42:C47, "27/11/2025") + COUNTIF(C76:C81, "27/11/2025") + COUNTIF(C85:C90, "27/11/2025") + COUNTIF(C103:C108, "27/11/2025") + COUNTIF(C112:C117, "27/11/2025")</f>
        <v/>
      </c>
      <c r="O11">
        <f>COUNTIF(C29:C37, "28/11/2025") + COUNTIF(C42:C47, "28/11/2025") + COUNTIF(C76:C81, "28/11/2025") + COUNTIF(C85:C90, "28/11/2025") + COUNTIF(C103:C108, "28/11/2025") + COUNTIF(C112:C117, "28/11/2025")</f>
        <v/>
      </c>
      <c r="P11">
        <f>SUM(K11:O11)</f>
        <v/>
      </c>
      <c r="Q11">
        <f>COUNTIF(C29:C37, "29/11/2025") + COUNTIF(C42:C47, "29/11/2025") + COUNTIF(C76:C81, "29/11/2025") + COUNTIF(C85:C90, "29/11/2025") + COUNTIF(C103:C108, "29/11/2025") + COUNTIF(C112:C117, "29/11/2025")</f>
        <v/>
      </c>
    </row>
    <row r="12">
      <c r="E12" s="13" t="inlineStr">
        <is>
          <t>EMERGENCY - PAY OUT</t>
        </is>
      </c>
      <c r="F12" s="32">
        <f>F11*0.25</f>
        <v/>
      </c>
      <c r="G12" s="21" t="n"/>
      <c r="H12" s="34">
        <f>F12/1.12</f>
        <v/>
      </c>
      <c r="J12" t="inlineStr">
        <is>
          <t>Unsuccessful</t>
        </is>
      </c>
      <c r="K12">
        <f>COUNTIF(C130:C135, "24/11/2025") + COUNTIF(C139:C144, "24/11/2025")</f>
        <v/>
      </c>
      <c r="L12">
        <f>COUNTIF(C130:C135, "25/11/2025") + COUNTIF(C139:C144, "25/11/2025")</f>
        <v/>
      </c>
      <c r="M12">
        <f>COUNTIF(C130:C135, "26/11/2025") + COUNTIF(C139:C144, "26/11/2025")</f>
        <v/>
      </c>
      <c r="N12">
        <f>COUNTIF(C130:C135, "27/11/2025") + COUNTIF(C139:C144, "27/11/2025")</f>
        <v/>
      </c>
      <c r="O12">
        <f>COUNTIF(C130:C135, "28/11/2025") + COUNTIF(C139:C144, "28/11/2025")</f>
        <v/>
      </c>
      <c r="P12">
        <f>SUM(K12:O12)</f>
        <v/>
      </c>
      <c r="Q12">
        <f>COUNTIF(C130:C135, "29/11/2025") + COUNTIF(C139:C144, "29/11/2025")</f>
        <v/>
      </c>
    </row>
    <row r="13">
      <c r="E13" s="13" t="inlineStr">
        <is>
          <t>PREV. WEEK</t>
        </is>
      </c>
      <c r="F13" s="11" t="n">
        <v>0</v>
      </c>
      <c r="G13" s="40" t="n">
        <v>0</v>
      </c>
      <c r="J13" t="inlineStr">
        <is>
          <t>Success rate</t>
        </is>
      </c>
      <c r="K13" s="41">
        <f>K11/(K11+K12)</f>
        <v/>
      </c>
      <c r="L13" s="41">
        <f>L11/(L11+L12)</f>
        <v/>
      </c>
      <c r="M13" s="41">
        <f>M11/(M11+M12)</f>
        <v/>
      </c>
      <c r="N13" s="41">
        <f>N11/(N11+N12)</f>
        <v/>
      </c>
      <c r="O13" s="41">
        <f>O11/(O11+O12)</f>
        <v/>
      </c>
      <c r="P13" s="41">
        <f>P11/(P11+P12)</f>
        <v/>
      </c>
      <c r="Q13" s="41">
        <f>Q11/(Q11+Q12)</f>
        <v/>
      </c>
    </row>
    <row r="14">
      <c r="E14" s="7" t="inlineStr">
        <is>
          <t>PREV. WEEK - PAY OUT</t>
        </is>
      </c>
      <c r="F14" s="42">
        <f>F13*0.05</f>
        <v/>
      </c>
      <c r="G14" s="43">
        <f>=G13*0.05</f>
        <v/>
      </c>
      <c r="H14" s="34">
        <f>F14/1.12</f>
        <v/>
      </c>
      <c r="J14" t="inlineStr">
        <is>
          <t>Avg sale</t>
        </is>
      </c>
      <c r="K14" s="44">
        <f>K10/K11</f>
        <v/>
      </c>
      <c r="L14" s="44">
        <f>L10/L11</f>
        <v/>
      </c>
      <c r="M14" s="44">
        <f>M10/M11</f>
        <v/>
      </c>
      <c r="N14" s="44">
        <f>N10/N11</f>
        <v/>
      </c>
      <c r="O14" s="44">
        <f>O10/O11</f>
        <v/>
      </c>
      <c r="P14" s="44">
        <f>P10/P11</f>
        <v/>
      </c>
      <c r="Q14" s="44">
        <f>Q10/Q11</f>
        <v/>
      </c>
    </row>
    <row r="15">
      <c r="E15" s="45" t="inlineStr">
        <is>
          <t>5 Star Review</t>
        </is>
      </c>
      <c r="F15" s="32">
        <f>F16*50</f>
        <v/>
      </c>
    </row>
    <row r="16">
      <c r="E16" s="45" t="inlineStr">
        <is>
          <t>5 Star Notes</t>
        </is>
      </c>
      <c r="F16" s="11">
        <f>T4</f>
        <v/>
      </c>
      <c r="K16" s="46" t="inlineStr">
        <is>
          <t>Management Summary - SALES ONLY - COLUMN F</t>
        </is>
      </c>
      <c r="L16" s="47" t="n"/>
      <c r="M16" s="47" t="n"/>
      <c r="N16" s="47" t="n"/>
      <c r="O16" s="47" t="n"/>
      <c r="P16" s="47" t="n"/>
      <c r="Q16" s="47" t="n"/>
      <c r="R16" s="48" t="inlineStr">
        <is>
          <t>WEEKDAY</t>
        </is>
      </c>
      <c r="S16" s="49" t="inlineStr">
        <is>
          <t>WEEKEND</t>
        </is>
      </c>
    </row>
    <row r="17">
      <c r="K17" s="3" t="inlineStr">
        <is>
          <t>MON</t>
        </is>
      </c>
      <c r="L17" s="30" t="inlineStr">
        <is>
          <t>TUE</t>
        </is>
      </c>
      <c r="M17" s="30" t="inlineStr">
        <is>
          <t>WED</t>
        </is>
      </c>
      <c r="N17" s="30" t="inlineStr">
        <is>
          <t>THU</t>
        </is>
      </c>
      <c r="O17" s="30" t="inlineStr">
        <is>
          <t>FRI</t>
        </is>
      </c>
      <c r="P17" s="30" t="inlineStr">
        <is>
          <t>Total</t>
        </is>
      </c>
      <c r="Q17" s="31" t="inlineStr">
        <is>
          <t>SAT</t>
        </is>
      </c>
      <c r="R17" s="26" t="inlineStr">
        <is>
          <t>Awaiting Payment</t>
        </is>
      </c>
      <c r="S17" s="27" t="inlineStr">
        <is>
          <t>Awaiting Payment</t>
        </is>
      </c>
    </row>
    <row r="18">
      <c r="K18" s="35">
        <f>SUMIF(C29:C37, "24/11/2025", F29:F37) + SUMIF(C42:C47, "24/11/2025", F42:F47) + SUMIF(C76:C81, "24/11/2025", F76:F81) + SUMIF(C85:C90, "24/11/2025", F85:F90) + SUMIF(C103:C108, "24/11/2025", F103:F108) + SUMIF(C112:C117, "24/11/2025", F112:F117)</f>
        <v/>
      </c>
      <c r="L18" s="36">
        <f>SUMIF(C29:C37, "25/11/2025", F29:F37) + SUMIF(C42:C47, "25/11/2025", F42:F47) + SUMIF(C76:C81, "25/11/2025", F76:F81) + SUMIF(C85:C90, "25/11/2025", F85:F90) + SUMIF(C103:C108, "25/11/2025", F103:F108) + SUMIF(C112:C117, "25/11/2025", F112:F117)</f>
        <v/>
      </c>
      <c r="M18" s="36">
        <f>SUMIF(C29:C37, "26/11/2025", F29:F37) + SUMIF(C42:C47, "26/11/2025", F42:F47) + SUMIF(C76:C81, "26/11/2025", F76:F81) + SUMIF(C85:C90, "26/11/2025", F85:F90) + SUMIF(C103:C108, "26/11/2025", F103:F108) + SUMIF(C112:C117, "26/11/2025", F112:F117)</f>
        <v/>
      </c>
      <c r="N18" s="36">
        <f>SUMIF(C29:C37, "27/11/2025", F29:F37) + SUMIF(C42:C47, "27/11/2025", F42:F47) + SUMIF(C76:C81, "27/11/2025", F76:F81) + SUMIF(C85:C90, "27/11/2025", F85:F90) + SUMIF(C103:C108, "27/11/2025", F103:F108) + SUMIF(C112:C117, "27/11/2025", F112:F117)</f>
        <v/>
      </c>
      <c r="O18" s="36">
        <f>SUMIF(C29:C37, "28/11/2025", F29:F37) + SUMIF(C42:C47, "28/11/2025", F42:F47) + SUMIF(C76:C81, "28/11/2025", F76:F81) + SUMIF(C85:C90, "28/11/2025", F85:F90) + SUMIF(C103:C108, "28/11/2025", F103:F108) + SUMIF(C112:C117, "28/11/2025", F112:F117)</f>
        <v/>
      </c>
      <c r="P18" s="36">
        <f>SUM(K18:O18)</f>
        <v/>
      </c>
      <c r="Q18" s="37">
        <f>SUMIF(C29:C37, "29/11/2025", F29:F37) + SUMIF(C42:C47, "29/11/2025", F42:F47) + SUMIF(C76:C81, "29/11/2025", F76:F81) + SUMIF(C85:C90, "29/11/2025", F85:F90) + SUMIF(C103:C108, "29/11/2025", F103:F108) + SUMIF(C112:C117, "29/11/2025", F112:F117)</f>
        <v/>
      </c>
      <c r="R18" s="38">
        <f>SUM(F76:F81) + SUM(F103:F108)</f>
        <v/>
      </c>
      <c r="S18" s="39">
        <f>SUM(F85:F90) + SUM(F112:F117)</f>
        <v/>
      </c>
    </row>
    <row r="19">
      <c r="J19" t="inlineStr">
        <is>
          <t>Successful</t>
        </is>
      </c>
      <c r="K19">
        <f>K11</f>
        <v/>
      </c>
      <c r="L19">
        <f>L11</f>
        <v/>
      </c>
      <c r="M19">
        <f>M11</f>
        <v/>
      </c>
      <c r="N19">
        <f>N11</f>
        <v/>
      </c>
      <c r="O19">
        <f>O11</f>
        <v/>
      </c>
      <c r="P19">
        <f>P11</f>
        <v/>
      </c>
      <c r="Q19">
        <f>Q11</f>
        <v/>
      </c>
    </row>
    <row r="20">
      <c r="J20" t="inlineStr">
        <is>
          <t>Unsuccessful</t>
        </is>
      </c>
      <c r="K20">
        <f>K12</f>
        <v/>
      </c>
      <c r="L20">
        <f>L12</f>
        <v/>
      </c>
      <c r="M20">
        <f>M12</f>
        <v/>
      </c>
      <c r="N20">
        <f>N12</f>
        <v/>
      </c>
      <c r="O20">
        <f>O12</f>
        <v/>
      </c>
      <c r="P20">
        <f>P12</f>
        <v/>
      </c>
      <c r="Q20">
        <f>Q12</f>
        <v/>
      </c>
    </row>
    <row r="21">
      <c r="J21" t="inlineStr">
        <is>
          <t>Success rate</t>
        </is>
      </c>
      <c r="K21" s="41">
        <f>K13</f>
        <v/>
      </c>
      <c r="L21" s="41">
        <f>L13</f>
        <v/>
      </c>
      <c r="M21" s="41">
        <f>M13</f>
        <v/>
      </c>
      <c r="N21" s="41">
        <f>N13</f>
        <v/>
      </c>
      <c r="O21" s="41">
        <f>O13</f>
        <v/>
      </c>
      <c r="P21" s="41">
        <f>P13</f>
        <v/>
      </c>
      <c r="Q21" s="41">
        <f>Q13</f>
        <v/>
      </c>
    </row>
    <row r="22">
      <c r="J22" t="inlineStr">
        <is>
          <t>Avg sale</t>
        </is>
      </c>
      <c r="K22" s="44">
        <f>K18/K19</f>
        <v/>
      </c>
      <c r="L22" s="44">
        <f>L18/L19</f>
        <v/>
      </c>
      <c r="M22" s="44">
        <f>M18/M19</f>
        <v/>
      </c>
      <c r="N22" s="44">
        <f>N18/N19</f>
        <v/>
      </c>
      <c r="O22" s="44">
        <f>O18/O19</f>
        <v/>
      </c>
      <c r="P22" s="44">
        <f>P18/P19</f>
        <v/>
      </c>
      <c r="Q22" s="44">
        <f>Q18/Q19</f>
        <v/>
      </c>
    </row>
    <row r="26">
      <c r="B26" s="50" t="inlineStr">
        <is>
          <t>JOB DETAILS</t>
        </is>
      </c>
      <c r="C26" s="4" t="n"/>
      <c r="D26" s="4" t="n"/>
      <c r="E26" s="4" t="n"/>
      <c r="F26" s="50" t="inlineStr">
        <is>
          <t>JOB AMOUNT</t>
        </is>
      </c>
      <c r="G26" s="4" t="n"/>
      <c r="H26" s="4" t="n"/>
      <c r="I26" s="4" t="n"/>
      <c r="J26" s="4" t="n"/>
      <c r="K26" s="50" t="n"/>
      <c r="L26" s="50" t="inlineStr">
        <is>
          <t>PHOTOS</t>
        </is>
      </c>
      <c r="M26" s="4" t="n"/>
      <c r="N26" s="4" t="n"/>
      <c r="O26" s="50" t="inlineStr">
        <is>
          <t>QUOTE</t>
        </is>
      </c>
      <c r="P26" s="4" t="n"/>
      <c r="Q26" s="4" t="n"/>
      <c r="R26" s="50" t="inlineStr">
        <is>
          <t>INVOICE</t>
        </is>
      </c>
      <c r="S26" s="4" t="n"/>
      <c r="T26" s="4" t="n"/>
      <c r="U26" s="4" t="n"/>
      <c r="V26" s="5" t="inlineStr">
        <is>
          <t>NOTES</t>
        </is>
      </c>
    </row>
    <row r="27">
      <c r="B27" s="15" t="inlineStr">
        <is>
          <t>JOB STATUS</t>
        </is>
      </c>
      <c r="C27" s="16" t="inlineStr">
        <is>
          <t>DATE</t>
        </is>
      </c>
      <c r="D27" s="16" t="inlineStr">
        <is>
          <t>JOB #</t>
        </is>
      </c>
      <c r="E27" s="51" t="inlineStr">
        <is>
          <t>SUBURB</t>
        </is>
      </c>
      <c r="F27" s="16" t="inlineStr">
        <is>
          <t>AMOUNT EXC. GST</t>
        </is>
      </c>
      <c r="G27" s="16" t="inlineStr">
        <is>
          <t>MATERIALS</t>
        </is>
      </c>
      <c r="H27" s="16" t="inlineStr">
        <is>
          <t>MERCHANT FEES</t>
        </is>
      </c>
      <c r="I27" s="16" t="inlineStr">
        <is>
          <t>NET PROFIT</t>
        </is>
      </c>
      <c r="J27" s="51" t="inlineStr">
        <is>
          <t>PAID</t>
        </is>
      </c>
      <c r="K27" s="51" t="inlineStr">
        <is>
          <t>DOC CHECK DONE</t>
        </is>
      </c>
      <c r="L27" s="16" t="inlineStr">
        <is>
          <t>BEFORE</t>
        </is>
      </c>
      <c r="M27" s="16" t="inlineStr">
        <is>
          <t>AFTER</t>
        </is>
      </c>
      <c r="N27" s="51" t="inlineStr">
        <is>
          <t>RECEIPT</t>
        </is>
      </c>
      <c r="O27" s="16" t="inlineStr">
        <is>
          <t>DESCRIPTION</t>
        </is>
      </c>
      <c r="P27" s="16" t="inlineStr">
        <is>
          <t>SIGNED</t>
        </is>
      </c>
      <c r="Q27" s="51" t="inlineStr">
        <is>
          <t>EMAILED</t>
        </is>
      </c>
      <c r="R27" s="16" t="inlineStr">
        <is>
          <t>DESCRIPTION</t>
        </is>
      </c>
      <c r="S27" s="16" t="inlineStr">
        <is>
          <t>SIGNED</t>
        </is>
      </c>
      <c r="T27" s="51" t="inlineStr">
        <is>
          <t>EMAILED</t>
        </is>
      </c>
      <c r="U27" s="16" t="inlineStr">
        <is>
          <t>5 Star Review</t>
        </is>
      </c>
      <c r="V27" s="51" t="n"/>
      <c r="W27" s="52" t="inlineStr">
        <is>
          <t>EFTPOS</t>
        </is>
      </c>
      <c r="X27" s="52" t="inlineStr">
        <is>
          <t>CASH</t>
        </is>
      </c>
      <c r="Y27" s="52" t="inlineStr">
        <is>
          <t>Payment Plan</t>
        </is>
      </c>
    </row>
    <row r="28">
      <c r="B28" t="inlineStr">
        <is>
          <t>COMPLETED &amp; PAID JOBS</t>
        </is>
      </c>
      <c r="W28" s="52" t="n"/>
      <c r="X28" s="52" t="n"/>
      <c r="Y28" s="52" t="n"/>
    </row>
    <row r="29">
      <c r="B29" t="n">
        <v>1</v>
      </c>
      <c r="C29" t="inlineStr">
        <is>
          <t>25/11/2025</t>
        </is>
      </c>
      <c r="D29" t="n">
        <v>100213</v>
      </c>
      <c r="E29" t="inlineStr">
        <is>
          <t>Thornbury</t>
        </is>
      </c>
      <c r="F29" s="44" t="n">
        <v>664.47</v>
      </c>
      <c r="G29" s="44" t="n">
        <v>132.894</v>
      </c>
      <c r="I29" s="44">
        <f>F29-G29-H29</f>
        <v/>
      </c>
      <c r="J29" t="inlineStr">
        <is>
          <t>Cash</t>
        </is>
      </c>
      <c r="K29" s="53">
        <f>IF(OR(L29=0, M29=0, N29=0, O29=0, P29=0, Q29=0, R29=0, S29=0, T29=0), "N","Y")</f>
        <v/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s="52" t="n"/>
      <c r="X29" s="54">
        <f>100.00+630.92</f>
        <v/>
      </c>
      <c r="Y29" s="52" t="n"/>
      <c r="Z29" s="55">
        <f>ROUND(F29*1.1,2)</f>
        <v/>
      </c>
      <c r="AA29" s="55">
        <f>ROUND(Z29 - W29 - X29 - Y29,2)</f>
        <v/>
      </c>
    </row>
    <row r="30">
      <c r="B30" t="n">
        <v>2</v>
      </c>
      <c r="C30" t="inlineStr">
        <is>
          <t>25/11/2025</t>
        </is>
      </c>
      <c r="D30" t="n">
        <v>100283</v>
      </c>
      <c r="E30" t="inlineStr">
        <is>
          <t>Cairnlea</t>
        </is>
      </c>
      <c r="F30" s="44" t="n">
        <v>986.54</v>
      </c>
      <c r="G30" s="44" t="n">
        <v>197.308</v>
      </c>
      <c r="I30" s="44">
        <f>F30-G30-H30</f>
        <v/>
      </c>
      <c r="J30" t="inlineStr">
        <is>
          <t>Credit Card</t>
        </is>
      </c>
      <c r="K30" s="53">
        <f>IF(OR(L30=0, M30=0, N30=0, O30=0, P30=0, Q30=0, R30=0, S30=0, T30=0), "N","Y")</f>
        <v/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W30" s="54">
        <f>185.00+900.19</f>
        <v/>
      </c>
      <c r="X30" s="52" t="n"/>
      <c r="Y30" s="52" t="n"/>
      <c r="Z30" s="55">
        <f>ROUND(F30*1.1,2)</f>
        <v/>
      </c>
      <c r="AA30" s="55">
        <f>ROUND(Z30 - W30 - X30 - Y30,2)</f>
        <v/>
      </c>
    </row>
    <row r="31">
      <c r="B31" t="n">
        <v>3</v>
      </c>
      <c r="C31" t="inlineStr">
        <is>
          <t>26/11/2025</t>
        </is>
      </c>
      <c r="D31" t="n">
        <v>100306</v>
      </c>
      <c r="E31" t="inlineStr">
        <is>
          <t>Footscray</t>
        </is>
      </c>
      <c r="F31" s="44" t="n">
        <v>1352.48</v>
      </c>
      <c r="G31" s="44" t="n">
        <v>270.496</v>
      </c>
      <c r="I31" s="44">
        <f>F31-G31-H31</f>
        <v/>
      </c>
      <c r="J31" t="inlineStr">
        <is>
          <t>Credit Card</t>
        </is>
      </c>
      <c r="K31" s="53">
        <f>IF(OR(L31=0, M31=0, N31=0, O31=0, P31=0, Q31=0, R31=0, S31=0, T31=0), "N","Y")</f>
        <v/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W31" s="54">
        <f>1339.00+148.73</f>
        <v/>
      </c>
      <c r="X31" s="52" t="n"/>
      <c r="Y31" s="52" t="n"/>
      <c r="Z31" s="55">
        <f>ROUND(F31*1.1,2)</f>
        <v/>
      </c>
      <c r="AA31" s="55">
        <f>ROUND(Z31 - W31 - X31 - Y31,2)</f>
        <v/>
      </c>
    </row>
    <row r="32">
      <c r="B32" t="n">
        <v>4</v>
      </c>
      <c r="C32" t="inlineStr">
        <is>
          <t>28/11/2025</t>
        </is>
      </c>
      <c r="D32" t="n">
        <v>100375</v>
      </c>
      <c r="E32" t="inlineStr">
        <is>
          <t>Dandenong</t>
        </is>
      </c>
      <c r="F32" s="44" t="n">
        <v>728.67</v>
      </c>
      <c r="G32" s="44" t="n">
        <v>145.734</v>
      </c>
      <c r="I32" s="44">
        <f>F32-G32-H32</f>
        <v/>
      </c>
      <c r="J32" t="inlineStr">
        <is>
          <t>Credit Card</t>
        </is>
      </c>
      <c r="K32" s="53">
        <f>IF(OR(L32=0, M32=0, N32=0, O32=0, P32=0, Q32=0, R32=0, S32=0, T32=0), "N","Y")</f>
        <v/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W32" s="54">
        <f>160.30+641.24</f>
        <v/>
      </c>
      <c r="X32" s="52" t="n"/>
      <c r="Y32" s="52" t="n"/>
      <c r="Z32" s="55">
        <f>ROUND(F32*1.1,2)</f>
        <v/>
      </c>
      <c r="AA32" s="55">
        <f>ROUND(Z32 - W32 - X32 - Y32,2)</f>
        <v/>
      </c>
    </row>
    <row r="33">
      <c r="W33" s="52" t="n"/>
      <c r="X33" s="52" t="n"/>
      <c r="Y33" s="52" t="n"/>
    </row>
    <row r="34">
      <c r="W34" s="52" t="n"/>
      <c r="X34" s="52" t="n"/>
      <c r="Y34" s="52" t="n"/>
    </row>
    <row r="35">
      <c r="W35" s="52" t="n"/>
      <c r="X35" s="52" t="n"/>
      <c r="Y35" s="52" t="n"/>
    </row>
    <row r="36">
      <c r="W36" s="52" t="n"/>
      <c r="X36" s="52" t="n"/>
      <c r="Y36" s="52" t="n"/>
    </row>
    <row r="37">
      <c r="W37" s="52" t="n"/>
      <c r="X37" s="52" t="n"/>
      <c r="Y37" s="52" t="n"/>
    </row>
    <row r="38">
      <c r="F38" s="56">
        <f>SUM(F29:F37)</f>
        <v/>
      </c>
      <c r="G38" s="56">
        <f>SUM(G29:G37)</f>
        <v/>
      </c>
      <c r="H38" s="56">
        <f>SUM(H29:H37)</f>
        <v/>
      </c>
      <c r="I38" s="56">
        <f>SUM(I29:I37)</f>
        <v/>
      </c>
      <c r="L38">
        <f>COUNT(L29:L37)</f>
        <v/>
      </c>
      <c r="M38">
        <f>COUNT(M29:M37)</f>
        <v/>
      </c>
      <c r="N38">
        <f>COUNT(N29:N37)</f>
        <v/>
      </c>
      <c r="O38">
        <f>COUNT(O29:O37)</f>
        <v/>
      </c>
      <c r="P38">
        <f>COUNT(P29:P37)</f>
        <v/>
      </c>
      <c r="Q38">
        <f>COUNT(Q29:Q37)</f>
        <v/>
      </c>
      <c r="R38">
        <f>COUNT(R29:R37)</f>
        <v/>
      </c>
      <c r="S38">
        <f>COUNT(S29:S37)</f>
        <v/>
      </c>
      <c r="T38">
        <f>COUNT(T29:T37)</f>
        <v/>
      </c>
      <c r="U38">
        <f>COUNT(U29:U37)</f>
        <v/>
      </c>
      <c r="W38" s="52" t="n"/>
      <c r="X38" s="52" t="n"/>
      <c r="Y38" s="52" t="n"/>
    </row>
    <row r="39">
      <c r="L39">
        <f>SUM(L29:L37)</f>
        <v/>
      </c>
      <c r="M39">
        <f>SUM(M29:M37)</f>
        <v/>
      </c>
      <c r="N39">
        <f>SUM(N29:N37)</f>
        <v/>
      </c>
      <c r="O39">
        <f>SUM(O29:O37)</f>
        <v/>
      </c>
      <c r="P39">
        <f>SUM(P29:P37)</f>
        <v/>
      </c>
      <c r="Q39">
        <f>SUM(Q29:Q37)</f>
        <v/>
      </c>
      <c r="R39">
        <f>SUM(R29:R37)</f>
        <v/>
      </c>
      <c r="S39">
        <f>SUM(S29:S37)</f>
        <v/>
      </c>
      <c r="T39">
        <f>SUM(T29:T37)</f>
        <v/>
      </c>
      <c r="U39">
        <f>SUM(U29:U37)</f>
        <v/>
      </c>
      <c r="W39" s="52" t="n"/>
      <c r="X39" s="52" t="n"/>
      <c r="Y39" s="52" t="n"/>
    </row>
    <row r="40">
      <c r="W40" s="52" t="n"/>
      <c r="X40" s="52" t="n"/>
      <c r="Y40" s="52" t="n"/>
    </row>
    <row r="41">
      <c r="B41" t="inlineStr">
        <is>
          <t>WEEKEND COMPLETED &amp; PAID JOBS</t>
        </is>
      </c>
      <c r="W41" s="52" t="n"/>
      <c r="X41" s="52" t="n"/>
      <c r="Y41" s="52" t="n"/>
    </row>
    <row r="42">
      <c r="W42" s="52" t="n"/>
      <c r="X42" s="52" t="n"/>
      <c r="Y42" s="52" t="n"/>
    </row>
    <row r="43">
      <c r="W43" s="52" t="n"/>
      <c r="X43" s="52" t="n"/>
      <c r="Y43" s="52" t="n"/>
    </row>
    <row r="44">
      <c r="W44" s="52" t="n"/>
      <c r="X44" s="52" t="n"/>
      <c r="Y44" s="52" t="n"/>
    </row>
    <row r="45">
      <c r="W45" s="52" t="n"/>
      <c r="X45" s="52" t="n"/>
      <c r="Y45" s="52" t="n"/>
    </row>
    <row r="46">
      <c r="W46" s="52" t="n"/>
      <c r="X46" s="52" t="n"/>
      <c r="Y46" s="52" t="n"/>
    </row>
    <row r="47">
      <c r="W47" s="52" t="n"/>
      <c r="X47" s="52" t="n"/>
      <c r="Y47" s="52" t="n"/>
    </row>
    <row r="48">
      <c r="F48" s="56">
        <f>SUM(F42:F47)</f>
        <v/>
      </c>
      <c r="G48" s="56">
        <f>SUM(G42:G47)</f>
        <v/>
      </c>
      <c r="H48" s="56">
        <f>SUM(H42:H47)</f>
        <v/>
      </c>
      <c r="I48" s="56">
        <f>SUM(I42:I47)</f>
        <v/>
      </c>
      <c r="W48" s="52" t="n"/>
      <c r="X48" s="52" t="n"/>
      <c r="Y48" s="52" t="n"/>
    </row>
    <row r="49">
      <c r="W49" s="52" t="n"/>
      <c r="X49" s="52" t="n"/>
      <c r="Y49" s="52" t="n"/>
    </row>
    <row r="50">
      <c r="B50" t="inlineStr">
        <is>
          <t>AFTERHOURS COMPLETED &amp; PAID JOBS</t>
        </is>
      </c>
      <c r="W50" s="52" t="n"/>
      <c r="X50" s="52" t="n"/>
      <c r="Y50" s="52" t="n"/>
    </row>
    <row r="51">
      <c r="W51" s="52" t="n"/>
      <c r="X51" s="52" t="n"/>
      <c r="Y51" s="52" t="n"/>
    </row>
    <row r="52">
      <c r="W52" s="52" t="n"/>
      <c r="X52" s="52" t="n"/>
      <c r="Y52" s="52" t="n"/>
    </row>
    <row r="53">
      <c r="W53" s="52" t="n"/>
      <c r="X53" s="52" t="n"/>
      <c r="Y53" s="52" t="n"/>
    </row>
    <row r="54">
      <c r="W54" s="52" t="n"/>
      <c r="X54" s="52" t="n"/>
      <c r="Y54" s="52" t="n"/>
    </row>
    <row r="55">
      <c r="W55" s="52" t="n"/>
      <c r="X55" s="52" t="n"/>
      <c r="Y55" s="52" t="n"/>
    </row>
    <row r="56">
      <c r="W56" s="52" t="n"/>
      <c r="X56" s="52" t="n"/>
      <c r="Y56" s="52" t="n"/>
    </row>
    <row r="57">
      <c r="F57" s="56">
        <f>SUM(F51:F56)</f>
        <v/>
      </c>
      <c r="G57" s="56">
        <f>SUM(G51:G56)</f>
        <v/>
      </c>
      <c r="H57" s="56">
        <f>SUM(H51:H56)</f>
        <v/>
      </c>
      <c r="I57" s="56">
        <f>SUM(I51:I56)</f>
        <v/>
      </c>
      <c r="W57" s="52" t="n"/>
      <c r="X57" s="52" t="n"/>
      <c r="Y57" s="52" t="n"/>
    </row>
    <row r="58">
      <c r="W58" s="52" t="n"/>
      <c r="X58" s="52" t="n"/>
      <c r="Y58" s="52" t="n"/>
    </row>
    <row r="59">
      <c r="A59" s="57" t="n"/>
      <c r="B59" s="57" t="inlineStr">
        <is>
          <t>PREVIOUS JOBS COMPLETED &amp; PAID (COMMISSION) - Modoras Team Please do ADD to THIS SECTION or AMEND/TOUCH</t>
        </is>
      </c>
      <c r="C59" s="57" t="n"/>
      <c r="D59" s="57" t="n"/>
      <c r="E59" s="57" t="n"/>
      <c r="F59" s="57" t="n"/>
      <c r="G59" s="57" t="n"/>
      <c r="H59" s="57" t="n"/>
      <c r="I59" s="57" t="n"/>
      <c r="J59" s="57" t="n"/>
      <c r="K59" s="57" t="n"/>
      <c r="L59" s="57" t="n"/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8" t="n"/>
      <c r="X59" s="58" t="n"/>
      <c r="Y59" s="52" t="n"/>
    </row>
    <row r="60">
      <c r="A60" s="57" t="n"/>
      <c r="B60" s="57" t="n">
        <v>1</v>
      </c>
      <c r="C60" s="57" t="n"/>
      <c r="D60" s="57" t="n"/>
      <c r="E60" s="57" t="n"/>
      <c r="F60" s="57" t="n"/>
      <c r="G60" s="57" t="n"/>
      <c r="H60" s="57" t="n"/>
      <c r="I60" s="57" t="n"/>
      <c r="J60" s="57" t="n"/>
      <c r="K60" s="57" t="n"/>
      <c r="L60" s="57" t="n"/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8" t="n"/>
      <c r="X60" s="58" t="n"/>
      <c r="Y60" s="52" t="n"/>
    </row>
    <row r="61">
      <c r="A61" s="57" t="n"/>
      <c r="B61" s="57" t="n">
        <v>2</v>
      </c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8" t="n"/>
      <c r="X61" s="58" t="n"/>
      <c r="Y61" s="52" t="n"/>
    </row>
    <row r="62">
      <c r="A62" s="57" t="n"/>
      <c r="B62" s="57" t="n">
        <v>3</v>
      </c>
      <c r="C62" s="57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8" t="n"/>
      <c r="X62" s="58" t="n"/>
      <c r="Y62" s="52" t="n"/>
    </row>
    <row r="63">
      <c r="A63" s="57" t="n"/>
      <c r="B63" s="57" t="n">
        <v>4</v>
      </c>
      <c r="C63" s="57" t="n"/>
      <c r="D63" s="57" t="n"/>
      <c r="E63" s="57" t="n"/>
      <c r="F63" s="57" t="n"/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8" t="n"/>
      <c r="X63" s="58" t="n"/>
      <c r="Y63" s="52" t="n"/>
    </row>
    <row r="64">
      <c r="A64" s="57" t="n"/>
      <c r="B64" s="57" t="n">
        <v>5</v>
      </c>
      <c r="C64" s="57" t="n"/>
      <c r="D64" s="57" t="n"/>
      <c r="E64" s="57" t="n"/>
      <c r="F64" s="57" t="n"/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8" t="n"/>
      <c r="X64" s="58" t="n"/>
      <c r="Y64" s="52" t="n"/>
    </row>
    <row r="65">
      <c r="A65" s="57" t="n"/>
      <c r="B65" s="57" t="n">
        <v>6</v>
      </c>
      <c r="C65" s="57" t="n"/>
      <c r="D65" s="57" t="n"/>
      <c r="E65" s="57" t="n"/>
      <c r="F65" s="57" t="n"/>
      <c r="G65" s="57" t="n"/>
      <c r="H65" s="57" t="n"/>
      <c r="I65" s="57" t="n"/>
      <c r="J65" s="57" t="n"/>
      <c r="K65" s="57" t="n"/>
      <c r="L65" s="57" t="n"/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8" t="n"/>
      <c r="X65" s="58" t="n"/>
      <c r="Y65" s="52" t="n"/>
    </row>
    <row r="66">
      <c r="A66" s="57" t="n"/>
      <c r="B66" s="57" t="n">
        <v>7</v>
      </c>
      <c r="C66" s="57" t="n"/>
      <c r="D66" s="57" t="n"/>
      <c r="E66" s="57" t="n"/>
      <c r="F66" s="57" t="n"/>
      <c r="G66" s="57" t="n"/>
      <c r="H66" s="57" t="n"/>
      <c r="I66" s="57" t="n"/>
      <c r="J66" s="57" t="n"/>
      <c r="K66" s="57" t="n"/>
      <c r="L66" s="57" t="n"/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8" t="n"/>
      <c r="X66" s="58" t="n"/>
      <c r="Y66" s="52" t="n"/>
    </row>
    <row r="67">
      <c r="A67" s="57" t="n"/>
      <c r="B67" s="57" t="n">
        <v>8</v>
      </c>
      <c r="C67" s="57" t="n"/>
      <c r="D67" s="57" t="n"/>
      <c r="E67" s="57" t="n"/>
      <c r="F67" s="57" t="n"/>
      <c r="G67" s="57" t="n"/>
      <c r="H67" s="57" t="n"/>
      <c r="I67" s="57" t="n"/>
      <c r="J67" s="57" t="n"/>
      <c r="K67" s="57" t="n"/>
      <c r="L67" s="57" t="n"/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8" t="n"/>
      <c r="X67" s="58" t="n"/>
      <c r="Y67" s="52" t="n"/>
    </row>
    <row r="68">
      <c r="W68" s="52" t="n"/>
      <c r="X68" s="52" t="n"/>
      <c r="Y68" s="52" t="n"/>
    </row>
    <row r="69">
      <c r="W69" s="52" t="n"/>
      <c r="X69" s="52" t="n"/>
      <c r="Y69" s="52" t="n"/>
    </row>
    <row r="70">
      <c r="W70" s="52" t="n"/>
      <c r="X70" s="52" t="n"/>
      <c r="Y70" s="52" t="n"/>
    </row>
    <row r="71">
      <c r="W71" s="52" t="n"/>
      <c r="X71" s="52" t="n"/>
      <c r="Y71" s="52" t="n"/>
    </row>
    <row r="72">
      <c r="W72" s="52" t="n"/>
      <c r="X72" s="52" t="n"/>
      <c r="Y72" s="52" t="n"/>
    </row>
    <row r="73">
      <c r="F73" s="56">
        <f>SUM(F60:F72)</f>
        <v/>
      </c>
      <c r="G73" s="56">
        <f>SUM(G60:G72)</f>
        <v/>
      </c>
      <c r="H73" s="56">
        <f>SUM(H60:H72)</f>
        <v/>
      </c>
      <c r="I73" s="56">
        <f>SUM(I60:I72)</f>
        <v/>
      </c>
      <c r="W73" s="52" t="n"/>
      <c r="X73" s="52" t="n"/>
      <c r="Y73" s="52" t="n"/>
    </row>
    <row r="74">
      <c r="W74" s="52" t="n"/>
      <c r="X74" s="52" t="n"/>
      <c r="Y74" s="52" t="n"/>
    </row>
    <row r="75">
      <c r="B75" s="59" t="inlineStr">
        <is>
          <t>CURRENT JOBS COMPLETED (AWAITING PAYMENT)</t>
        </is>
      </c>
      <c r="W75" s="52" t="n"/>
      <c r="X75" s="52" t="n"/>
      <c r="Y75" s="52" t="n"/>
    </row>
    <row r="76">
      <c r="W76" s="52" t="n"/>
      <c r="X76" s="52" t="n"/>
      <c r="Y76" s="52" t="n"/>
    </row>
    <row r="77">
      <c r="W77" s="52" t="n"/>
      <c r="X77" s="52" t="n"/>
      <c r="Y77" s="52" t="n"/>
    </row>
    <row r="78">
      <c r="W78" s="52" t="n"/>
      <c r="X78" s="52" t="n"/>
      <c r="Y78" s="52" t="n"/>
    </row>
    <row r="79">
      <c r="W79" s="52" t="n"/>
      <c r="X79" s="52" t="n"/>
      <c r="Y79" s="52" t="n"/>
    </row>
    <row r="80">
      <c r="W80" s="52" t="n"/>
      <c r="X80" s="52" t="n"/>
      <c r="Y80" s="52" t="n"/>
    </row>
    <row r="81">
      <c r="W81" s="52" t="n"/>
      <c r="X81" s="52" t="n"/>
      <c r="Y81" s="52" t="n"/>
    </row>
    <row r="82">
      <c r="F82" s="56">
        <f>SUM(F76:F81)</f>
        <v/>
      </c>
      <c r="G82" s="56">
        <f>SUM(G76:G81)</f>
        <v/>
      </c>
      <c r="H82" s="56">
        <f>SUM(H76:H81)</f>
        <v/>
      </c>
      <c r="I82" s="56">
        <f>SUM(I76:I81)</f>
        <v/>
      </c>
      <c r="W82" s="52" t="n"/>
      <c r="X82" s="52" t="n"/>
      <c r="Y82" s="52" t="n"/>
    </row>
    <row r="83">
      <c r="W83" s="52" t="n"/>
      <c r="X83" s="52" t="n"/>
      <c r="Y83" s="52" t="n"/>
    </row>
    <row r="84">
      <c r="B84" s="59" t="inlineStr">
        <is>
          <t>WEEKEND CURRENT JOBS COMPLETED (AWAITING PAYMENT)</t>
        </is>
      </c>
      <c r="W84" s="52" t="n"/>
      <c r="X84" s="52" t="n"/>
      <c r="Y84" s="52" t="n"/>
    </row>
    <row r="85">
      <c r="W85" s="52" t="n"/>
      <c r="X85" s="52" t="n"/>
      <c r="Y85" s="52" t="n"/>
    </row>
    <row r="86">
      <c r="W86" s="52" t="n"/>
      <c r="X86" s="52" t="n"/>
      <c r="Y86" s="52" t="n"/>
    </row>
    <row r="87">
      <c r="W87" s="52" t="n"/>
      <c r="X87" s="52" t="n"/>
      <c r="Y87" s="52" t="n"/>
    </row>
    <row r="88">
      <c r="W88" s="52" t="n"/>
      <c r="X88" s="52" t="n"/>
      <c r="Y88" s="52" t="n"/>
    </row>
    <row r="89">
      <c r="W89" s="52" t="n"/>
      <c r="X89" s="52" t="n"/>
      <c r="Y89" s="52" t="n"/>
    </row>
    <row r="90">
      <c r="W90" s="52" t="n"/>
      <c r="X90" s="52" t="n"/>
      <c r="Y90" s="52" t="n"/>
    </row>
    <row r="91">
      <c r="F91" s="56">
        <f>SUM(F85:F90)</f>
        <v/>
      </c>
      <c r="G91" s="56">
        <f>SUM(G85:G90)</f>
        <v/>
      </c>
      <c r="H91" s="56">
        <f>SUM(H85:H90)</f>
        <v/>
      </c>
      <c r="I91" s="56">
        <f>SUM(I85:I90)</f>
        <v/>
      </c>
      <c r="W91" s="52" t="n"/>
      <c r="X91" s="52" t="n"/>
      <c r="Y91" s="52" t="n"/>
    </row>
    <row r="92">
      <c r="W92" s="52" t="n"/>
      <c r="X92" s="52" t="n"/>
      <c r="Y92" s="52" t="n"/>
    </row>
    <row r="93">
      <c r="B93" t="inlineStr">
        <is>
          <t>AFTERHOURS CURRENT JOBS COMPLETED (AWAITING PAYMENT)</t>
        </is>
      </c>
      <c r="W93" s="52" t="n"/>
      <c r="X93" s="52" t="n"/>
      <c r="Y93" s="52" t="n"/>
    </row>
    <row r="94">
      <c r="W94" s="52" t="n"/>
      <c r="X94" s="52" t="n"/>
      <c r="Y94" s="52" t="n"/>
    </row>
    <row r="95">
      <c r="W95" s="52" t="n"/>
      <c r="X95" s="52" t="n"/>
      <c r="Y95" s="52" t="n"/>
    </row>
    <row r="96">
      <c r="W96" s="52" t="n"/>
      <c r="X96" s="52" t="n"/>
      <c r="Y96" s="52" t="n"/>
    </row>
    <row r="97">
      <c r="W97" s="52" t="n"/>
      <c r="X97" s="52" t="n"/>
      <c r="Y97" s="52" t="n"/>
    </row>
    <row r="98">
      <c r="W98" s="52" t="n"/>
      <c r="X98" s="52" t="n"/>
      <c r="Y98" s="52" t="n"/>
    </row>
    <row r="99">
      <c r="W99" s="52" t="n"/>
      <c r="X99" s="52" t="n"/>
      <c r="Y99" s="52" t="n"/>
    </row>
    <row r="100">
      <c r="F100" s="56">
        <f>SUM(F94:F99)</f>
        <v/>
      </c>
      <c r="G100" s="56">
        <f>SUM(G94:G99)</f>
        <v/>
      </c>
      <c r="H100" s="56">
        <f>SUM(H94:H99)</f>
        <v/>
      </c>
      <c r="I100" s="56">
        <f>SUM(I94:I99)</f>
        <v/>
      </c>
      <c r="W100" s="52" t="n"/>
      <c r="X100" s="52" t="n"/>
      <c r="Y100" s="52" t="n"/>
    </row>
    <row r="101">
      <c r="W101" s="52" t="n"/>
      <c r="X101" s="52" t="n"/>
      <c r="Y101" s="52" t="n"/>
    </row>
    <row r="102">
      <c r="B102" s="59" t="inlineStr">
        <is>
          <t>CURRENT WORK ORDERS (AWAITING PAYMENT)</t>
        </is>
      </c>
      <c r="W102" s="52" t="n"/>
      <c r="X102" s="52" t="n"/>
      <c r="Y102" s="52" t="n"/>
    </row>
    <row r="103">
      <c r="W103" s="52" t="n"/>
      <c r="X103" s="52" t="n"/>
      <c r="Y103" s="52" t="n"/>
    </row>
    <row r="104">
      <c r="W104" s="52" t="n"/>
      <c r="X104" s="52" t="n"/>
      <c r="Y104" s="52" t="n"/>
    </row>
    <row r="105">
      <c r="W105" s="52" t="n"/>
      <c r="X105" s="52" t="n"/>
      <c r="Y105" s="52" t="n"/>
    </row>
    <row r="106">
      <c r="W106" s="52" t="n"/>
      <c r="X106" s="52" t="n"/>
      <c r="Y106" s="52" t="n"/>
    </row>
    <row r="107">
      <c r="W107" s="52" t="n"/>
      <c r="X107" s="52" t="n"/>
      <c r="Y107" s="52" t="n"/>
    </row>
    <row r="108">
      <c r="W108" s="52" t="n"/>
      <c r="X108" s="52" t="n"/>
      <c r="Y108" s="52" t="n"/>
    </row>
    <row r="109">
      <c r="F109" s="56">
        <f>SUM(F103:F108)</f>
        <v/>
      </c>
      <c r="G109" s="56">
        <f>SUM(G103:G108)</f>
        <v/>
      </c>
      <c r="H109" s="56">
        <f>SUM(H103:H108)</f>
        <v/>
      </c>
      <c r="I109" s="56">
        <f>SUM(I103:I108)</f>
        <v/>
      </c>
      <c r="W109" s="52" t="n"/>
      <c r="X109" s="52" t="n"/>
      <c r="Y109" s="52" t="n"/>
    </row>
    <row r="110">
      <c r="W110" s="52" t="n"/>
      <c r="X110" s="52" t="n"/>
      <c r="Y110" s="52" t="n"/>
    </row>
    <row r="111">
      <c r="B111" s="59" t="inlineStr">
        <is>
          <t>WEEKEND WORK ORDERS (AWAITING PAYMENT)</t>
        </is>
      </c>
      <c r="W111" s="52" t="n"/>
      <c r="X111" s="52" t="n"/>
      <c r="Y111" s="52" t="n"/>
    </row>
    <row r="112">
      <c r="W112" s="52" t="n"/>
      <c r="X112" s="52" t="n"/>
      <c r="Y112" s="52" t="n"/>
    </row>
    <row r="113">
      <c r="W113" s="52" t="n"/>
      <c r="X113" s="52" t="n"/>
      <c r="Y113" s="52" t="n"/>
    </row>
    <row r="114">
      <c r="W114" s="52" t="n"/>
      <c r="X114" s="52" t="n"/>
      <c r="Y114" s="52" t="n"/>
    </row>
    <row r="115">
      <c r="W115" s="52" t="n"/>
      <c r="X115" s="52" t="n"/>
      <c r="Y115" s="52" t="n"/>
    </row>
    <row r="116">
      <c r="W116" s="52" t="n"/>
      <c r="X116" s="52" t="n"/>
      <c r="Y116" s="52" t="n"/>
    </row>
    <row r="117">
      <c r="W117" s="52" t="n"/>
      <c r="X117" s="52" t="n"/>
      <c r="Y117" s="52" t="n"/>
    </row>
    <row r="118">
      <c r="F118" s="56">
        <f>SUM(F112:F117)</f>
        <v/>
      </c>
      <c r="G118" s="56">
        <f>SUM(G112:G117)</f>
        <v/>
      </c>
      <c r="H118" s="56">
        <f>SUM(H112:H117)</f>
        <v/>
      </c>
      <c r="I118" s="56">
        <f>SUM(I112:I117)</f>
        <v/>
      </c>
      <c r="W118" s="52" t="n"/>
      <c r="X118" s="52" t="n"/>
      <c r="Y118" s="52" t="n"/>
    </row>
    <row r="119">
      <c r="W119" s="52" t="n"/>
      <c r="X119" s="52" t="n"/>
      <c r="Y119" s="52" t="n"/>
    </row>
    <row r="120">
      <c r="B120" t="inlineStr">
        <is>
          <t>AFTERHOURS WORK ORDERS (AWAITING PAYMENT)</t>
        </is>
      </c>
      <c r="W120" s="52" t="n"/>
      <c r="X120" s="52" t="n"/>
      <c r="Y120" s="52" t="n"/>
    </row>
    <row r="121">
      <c r="W121" s="52" t="n"/>
      <c r="X121" s="52" t="n"/>
      <c r="Y121" s="52" t="n"/>
    </row>
    <row r="122">
      <c r="W122" s="52" t="n"/>
      <c r="X122" s="52" t="n"/>
      <c r="Y122" s="52" t="n"/>
    </row>
    <row r="123">
      <c r="W123" s="52" t="n"/>
      <c r="X123" s="52" t="n"/>
      <c r="Y123" s="52" t="n"/>
    </row>
    <row r="124">
      <c r="W124" s="52" t="n"/>
      <c r="X124" s="52" t="n"/>
      <c r="Y124" s="52" t="n"/>
    </row>
    <row r="125">
      <c r="W125" s="52" t="n"/>
      <c r="X125" s="52" t="n"/>
      <c r="Y125" s="52" t="n"/>
    </row>
    <row r="126">
      <c r="W126" s="52" t="n"/>
      <c r="X126" s="52" t="n"/>
      <c r="Y126" s="52" t="n"/>
    </row>
    <row r="127">
      <c r="F127" s="56">
        <f>SUM(F121:F126)</f>
        <v/>
      </c>
      <c r="G127" s="56">
        <f>SUM(G121:G126)</f>
        <v/>
      </c>
      <c r="H127" s="56">
        <f>SUM(H121:H126)</f>
        <v/>
      </c>
      <c r="I127" s="56">
        <f>SUM(I121:I126)</f>
        <v/>
      </c>
      <c r="W127" s="52" t="n"/>
      <c r="X127" s="52" t="n"/>
      <c r="Y127" s="52" t="n"/>
    </row>
    <row r="128">
      <c r="W128" s="52" t="n"/>
      <c r="X128" s="52" t="n"/>
      <c r="Y128" s="52" t="n"/>
    </row>
    <row r="129">
      <c r="B129" t="inlineStr">
        <is>
          <t>UNSUCCESSFUL JOBS</t>
        </is>
      </c>
      <c r="W129" s="52" t="n"/>
      <c r="X129" s="52" t="n"/>
      <c r="Y129" s="52" t="n"/>
    </row>
    <row r="130">
      <c r="W130" s="52" t="n"/>
      <c r="X130" s="52" t="n"/>
      <c r="Y130" s="52" t="n"/>
    </row>
    <row r="131">
      <c r="W131" s="52" t="n"/>
      <c r="X131" s="52" t="n"/>
      <c r="Y131" s="52" t="n"/>
    </row>
    <row r="132">
      <c r="W132" s="52" t="n"/>
      <c r="X132" s="52" t="n"/>
      <c r="Y132" s="52" t="n"/>
    </row>
    <row r="133">
      <c r="W133" s="52" t="n"/>
      <c r="X133" s="52" t="n"/>
      <c r="Y133" s="52" t="n"/>
    </row>
    <row r="134">
      <c r="W134" s="52" t="n"/>
      <c r="X134" s="52" t="n"/>
      <c r="Y134" s="52" t="n"/>
    </row>
    <row r="135">
      <c r="W135" s="52" t="n"/>
      <c r="X135" s="52" t="n"/>
      <c r="Y135" s="52" t="n"/>
    </row>
    <row r="136">
      <c r="F136" s="56">
        <f>SUM(F130:F135)</f>
        <v/>
      </c>
      <c r="G136" s="56">
        <f>SUM(G130:G135)</f>
        <v/>
      </c>
      <c r="H136" s="56">
        <f>SUM(H130:H135)</f>
        <v/>
      </c>
      <c r="I136" s="56">
        <f>SUM(I130:I135)</f>
        <v/>
      </c>
      <c r="W136" s="52" t="n"/>
      <c r="X136" s="52" t="n"/>
      <c r="Y136" s="52" t="n"/>
    </row>
    <row r="137">
      <c r="W137" s="52" t="n"/>
      <c r="X137" s="52" t="n"/>
      <c r="Y137" s="52" t="n"/>
    </row>
    <row r="138">
      <c r="B138" t="inlineStr">
        <is>
          <t>WEEKEND UNSUCCESSFUL JOBS</t>
        </is>
      </c>
      <c r="W138" s="52" t="n"/>
      <c r="X138" s="52" t="n"/>
      <c r="Y138" s="52" t="n"/>
    </row>
    <row r="139">
      <c r="W139" s="52" t="n"/>
      <c r="X139" s="52" t="n"/>
      <c r="Y139" s="52" t="n"/>
    </row>
    <row r="140">
      <c r="W140" s="52" t="n"/>
      <c r="X140" s="52" t="n"/>
      <c r="Y140" s="52" t="n"/>
    </row>
    <row r="141">
      <c r="W141" s="52" t="n"/>
      <c r="X141" s="52" t="n"/>
      <c r="Y141" s="52" t="n"/>
    </row>
    <row r="142">
      <c r="W142" s="52" t="n"/>
      <c r="X142" s="52" t="n"/>
      <c r="Y142" s="52" t="n"/>
    </row>
    <row r="143">
      <c r="W143" s="52" t="n"/>
      <c r="X143" s="52" t="n"/>
      <c r="Y143" s="52" t="n"/>
    </row>
    <row r="144">
      <c r="W144" s="52" t="n"/>
      <c r="X144" s="52" t="n"/>
      <c r="Y144" s="52" t="n"/>
    </row>
    <row r="145">
      <c r="F145" s="56">
        <f>SUM(F139:F144)</f>
        <v/>
      </c>
      <c r="G145" s="56">
        <f>SUM(G139:G144)</f>
        <v/>
      </c>
      <c r="H145" s="56">
        <f>SUM(H139:H144)</f>
        <v/>
      </c>
      <c r="I145" s="56">
        <f>SUM(I139:I144)</f>
        <v/>
      </c>
      <c r="W145" s="52" t="n"/>
      <c r="X145" s="52" t="n"/>
      <c r="Y145" s="52" t="n"/>
    </row>
    <row r="146">
      <c r="W146" s="52" t="n"/>
      <c r="X146" s="52" t="n"/>
      <c r="Y146" s="52" t="n"/>
    </row>
    <row r="147">
      <c r="B147" t="inlineStr">
        <is>
          <t>AFTERHOURS UNSUCCESSFUL JOBS</t>
        </is>
      </c>
      <c r="W147" s="52" t="n"/>
      <c r="X147" s="52" t="n"/>
      <c r="Y147" s="52" t="n"/>
    </row>
    <row r="148">
      <c r="W148" s="52" t="n"/>
      <c r="X148" s="52" t="n"/>
      <c r="Y148" s="52" t="n"/>
    </row>
    <row r="149">
      <c r="W149" s="52" t="n"/>
      <c r="X149" s="52" t="n"/>
      <c r="Y149" s="52" t="n"/>
    </row>
    <row r="150">
      <c r="W150" s="52" t="n"/>
      <c r="X150" s="52" t="n"/>
      <c r="Y150" s="52" t="n"/>
    </row>
    <row r="151">
      <c r="W151" s="52" t="n"/>
      <c r="X151" s="52" t="n"/>
      <c r="Y151" s="52" t="n"/>
    </row>
    <row r="152">
      <c r="W152" s="52" t="n"/>
      <c r="X152" s="52" t="n"/>
      <c r="Y152" s="52" t="n"/>
    </row>
    <row r="153">
      <c r="W153" s="52" t="n"/>
      <c r="X153" s="52" t="n"/>
      <c r="Y153" s="52" t="n"/>
    </row>
    <row r="154">
      <c r="F154" s="56">
        <f>SUM(F148:F153)</f>
        <v/>
      </c>
      <c r="G154" s="56">
        <f>SUM(G148:G153)</f>
        <v/>
      </c>
      <c r="H154" s="56">
        <f>SUM(H148:H153)</f>
        <v/>
      </c>
      <c r="I154" s="56">
        <f>SUM(I148:I153)</f>
        <v/>
      </c>
      <c r="W154" s="52" t="n"/>
      <c r="X154" s="52" t="n"/>
      <c r="Y154" s="52" t="n"/>
    </row>
    <row r="155">
      <c r="W155" s="52" t="n"/>
      <c r="X155" s="52" t="n"/>
      <c r="Y155" s="52" t="n"/>
    </row>
    <row r="156">
      <c r="B156" t="inlineStr">
        <is>
          <t>WEEK UNCATEGORISED</t>
        </is>
      </c>
      <c r="W156" s="52" t="n"/>
      <c r="X156" s="52" t="n"/>
      <c r="Y156" s="52" t="n"/>
    </row>
    <row r="157">
      <c r="W157" s="52" t="n"/>
      <c r="X157" s="52" t="n"/>
      <c r="Y157" s="52" t="n"/>
    </row>
    <row r="158">
      <c r="W158" s="52" t="n"/>
      <c r="X158" s="52" t="n"/>
      <c r="Y158" s="52" t="n"/>
    </row>
    <row r="159">
      <c r="W159" s="52" t="n"/>
      <c r="X159" s="52" t="n"/>
      <c r="Y159" s="52" t="n"/>
    </row>
    <row r="160">
      <c r="W160" s="52" t="n"/>
      <c r="X160" s="52" t="n"/>
      <c r="Y160" s="52" t="n"/>
    </row>
    <row r="161">
      <c r="W161" s="52" t="n"/>
      <c r="X161" s="52" t="n"/>
      <c r="Y161" s="52" t="n"/>
    </row>
    <row r="162">
      <c r="W162" s="52" t="n"/>
      <c r="X162" s="52" t="n"/>
      <c r="Y162" s="52" t="n"/>
    </row>
    <row r="163">
      <c r="F163" s="56">
        <f>SUM(F157:F162)</f>
        <v/>
      </c>
      <c r="G163" s="56">
        <f>SUM(G157:G162)</f>
        <v/>
      </c>
      <c r="H163" s="56">
        <f>SUM(H157:H162)</f>
        <v/>
      </c>
      <c r="I163" s="56">
        <f>SUM(I157:I162)</f>
        <v/>
      </c>
      <c r="W163" s="52" t="n"/>
      <c r="X163" s="52" t="n"/>
      <c r="Y163" s="52" t="n"/>
    </row>
    <row r="164">
      <c r="W164" s="52" t="n"/>
      <c r="X164" s="52" t="n"/>
      <c r="Y164" s="52" t="n"/>
    </row>
    <row r="165">
      <c r="B165" t="inlineStr">
        <is>
          <t>WEEKEND UNCATEGORISED</t>
        </is>
      </c>
      <c r="W165" s="52" t="n"/>
      <c r="X165" s="52" t="n"/>
      <c r="Y165" s="52" t="n"/>
    </row>
    <row r="166">
      <c r="W166" s="52" t="n"/>
      <c r="X166" s="52" t="n"/>
      <c r="Y166" s="52" t="n"/>
    </row>
    <row r="167">
      <c r="W167" s="52" t="n"/>
      <c r="X167" s="52" t="n"/>
      <c r="Y167" s="52" t="n"/>
    </row>
    <row r="168">
      <c r="W168" s="52" t="n"/>
      <c r="X168" s="52" t="n"/>
      <c r="Y168" s="52" t="n"/>
    </row>
    <row r="169">
      <c r="W169" s="52" t="n"/>
      <c r="X169" s="52" t="n"/>
      <c r="Y169" s="52" t="n"/>
    </row>
    <row r="170">
      <c r="W170" s="52" t="n"/>
      <c r="X170" s="52" t="n"/>
      <c r="Y170" s="52" t="n"/>
    </row>
    <row r="171">
      <c r="W171" s="52" t="n"/>
      <c r="X171" s="52" t="n"/>
      <c r="Y171" s="52" t="n"/>
    </row>
    <row r="172">
      <c r="F172" s="56">
        <f>SUM(F166:F171)</f>
        <v/>
      </c>
      <c r="G172" s="56">
        <f>SUM(G166:G171)</f>
        <v/>
      </c>
      <c r="H172" s="56">
        <f>SUM(H166:H171)</f>
        <v/>
      </c>
      <c r="I172" s="56">
        <f>SUM(I166:I171)</f>
        <v/>
      </c>
      <c r="W172" s="52" t="n"/>
      <c r="X172" s="52" t="n"/>
      <c r="Y172" s="52" t="n"/>
    </row>
    <row r="173">
      <c r="W173" s="52" t="n"/>
      <c r="X173" s="52" t="n"/>
      <c r="Y173" s="52" t="n"/>
    </row>
    <row r="174">
      <c r="B174" t="inlineStr">
        <is>
          <t>AFTERHOURS UNCATEGORISED</t>
        </is>
      </c>
      <c r="W174" s="52" t="n"/>
      <c r="X174" s="52" t="n"/>
      <c r="Y174" s="52" t="n"/>
    </row>
    <row r="175">
      <c r="W175" s="52" t="n"/>
      <c r="X175" s="52" t="n"/>
      <c r="Y175" s="52" t="n"/>
    </row>
    <row r="176">
      <c r="W176" s="52" t="n"/>
      <c r="X176" s="52" t="n"/>
      <c r="Y176" s="52" t="n"/>
    </row>
    <row r="177">
      <c r="W177" s="52" t="n"/>
      <c r="X177" s="52" t="n"/>
      <c r="Y177" s="52" t="n"/>
    </row>
    <row r="178">
      <c r="W178" s="52" t="n"/>
      <c r="X178" s="52" t="n"/>
      <c r="Y178" s="52" t="n"/>
    </row>
    <row r="179">
      <c r="W179" s="52" t="n"/>
      <c r="X179" s="52" t="n"/>
      <c r="Y179" s="52" t="n"/>
    </row>
    <row r="180">
      <c r="W180" s="52" t="n"/>
      <c r="X180" s="52" t="n"/>
      <c r="Y180" s="52" t="n"/>
    </row>
    <row r="181">
      <c r="F181" s="56">
        <f>SUM(F175:F180)</f>
        <v/>
      </c>
      <c r="G181" s="56">
        <f>SUM(G175:G180)</f>
        <v/>
      </c>
      <c r="H181" s="56">
        <f>SUM(H175:H180)</f>
        <v/>
      </c>
      <c r="I181" s="56">
        <f>SUM(I175:I180)</f>
        <v/>
      </c>
    </row>
  </sheetData>
  <conditionalFormatting sqref="K29:U37">
    <cfRule type="cellIs" priority="1" operator="equal" dxfId="0">
      <formula>0</formula>
    </cfRule>
  </conditionalFormatting>
  <conditionalFormatting sqref="K42:U47">
    <cfRule type="cellIs" priority="2" operator="equal" dxfId="0">
      <formula>0</formula>
    </cfRule>
  </conditionalFormatting>
  <conditionalFormatting sqref="K51:U56">
    <cfRule type="cellIs" priority="3" operator="equal" dxfId="0">
      <formula>0</formula>
    </cfRule>
  </conditionalFormatting>
  <conditionalFormatting sqref="K60:U72">
    <cfRule type="cellIs" priority="4" operator="equal" dxfId="0">
      <formula>0</formula>
    </cfRule>
  </conditionalFormatting>
  <conditionalFormatting sqref="K76:U81">
    <cfRule type="cellIs" priority="5" operator="equal" dxfId="0">
      <formula>0</formula>
    </cfRule>
  </conditionalFormatting>
  <conditionalFormatting sqref="K85:U90">
    <cfRule type="cellIs" priority="6" operator="equal" dxfId="0">
      <formula>0</formula>
    </cfRule>
  </conditionalFormatting>
  <conditionalFormatting sqref="K94:U99">
    <cfRule type="cellIs" priority="7" operator="equal" dxfId="0">
      <formula>0</formula>
    </cfRule>
  </conditionalFormatting>
  <conditionalFormatting sqref="K103:U108">
    <cfRule type="cellIs" priority="8" operator="equal" dxfId="0">
      <formula>0</formula>
    </cfRule>
  </conditionalFormatting>
  <conditionalFormatting sqref="K112:U117">
    <cfRule type="cellIs" priority="9" operator="equal" dxfId="0">
      <formula>0</formula>
    </cfRule>
  </conditionalFormatting>
  <conditionalFormatting sqref="K121:U126">
    <cfRule type="cellIs" priority="10" operator="equal" dxfId="0">
      <formula>0</formula>
    </cfRule>
  </conditionalFormatting>
  <conditionalFormatting sqref="K130:U135">
    <cfRule type="cellIs" priority="11" operator="equal" dxfId="0">
      <formula>0</formula>
    </cfRule>
  </conditionalFormatting>
  <conditionalFormatting sqref="K139:U144">
    <cfRule type="cellIs" priority="12" operator="equal" dxfId="0">
      <formula>0</formula>
    </cfRule>
  </conditionalFormatting>
  <conditionalFormatting sqref="K148:U153">
    <cfRule type="cellIs" priority="13" operator="equal" dxfId="0">
      <formula>0</formula>
    </cfRule>
  </conditionalFormatting>
  <conditionalFormatting sqref="K157:U162">
    <cfRule type="cellIs" priority="14" operator="equal" dxfId="0">
      <formula>0</formula>
    </cfRule>
  </conditionalFormatting>
  <conditionalFormatting sqref="K166:U171">
    <cfRule type="cellIs" priority="15" operator="equal" dxfId="0">
      <formula>0</formula>
    </cfRule>
  </conditionalFormatting>
  <conditionalFormatting sqref="K175:U180">
    <cfRule type="cellIs" priority="16" operator="equal" dxfId="0">
      <formula>0</formula>
    </cfRule>
  </conditionalFormatting>
  <conditionalFormatting sqref="I29:I47">
    <cfRule type="expression" priority="17" dxfId="1">
      <formula>$K29="N"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3da813"/>
    <outlinePr summaryBelow="1" summaryRight="1"/>
    <pageSetUpPr/>
  </sheetPr>
  <dimension ref="A1:AA1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WEEKLY COMMISSION</t>
        </is>
      </c>
      <c r="F1" s="2" t="inlineStr">
        <is>
          <t>WEEK ENDING</t>
        </is>
      </c>
      <c r="G1" s="2" t="inlineStr">
        <is>
          <t>30/11/2025</t>
        </is>
      </c>
    </row>
    <row r="2">
      <c r="K2" s="3" t="inlineStr">
        <is>
          <t>PHOTOS</t>
        </is>
      </c>
      <c r="L2" s="4" t="n"/>
      <c r="M2" s="4" t="n"/>
      <c r="N2" s="3" t="inlineStr">
        <is>
          <t>QUOTE</t>
        </is>
      </c>
      <c r="O2" s="4" t="n"/>
      <c r="P2" s="4" t="n"/>
      <c r="Q2" s="3" t="inlineStr">
        <is>
          <t>INVOICE</t>
        </is>
      </c>
      <c r="R2" s="4" t="n"/>
      <c r="S2" s="5" t="n"/>
      <c r="T2" s="5" t="n"/>
    </row>
    <row r="3">
      <c r="B3" s="3" t="inlineStr">
        <is>
          <t>BOOKED JOBS</t>
        </is>
      </c>
      <c r="C3" s="6">
        <f>B4+B5</f>
        <v/>
      </c>
      <c r="E3" s="3" t="inlineStr">
        <is>
          <t>WEEKLY TARGET</t>
        </is>
      </c>
      <c r="F3" s="4" t="n"/>
      <c r="G3" s="5" t="n"/>
      <c r="K3" s="7" t="inlineStr">
        <is>
          <t>BEFORE</t>
        </is>
      </c>
      <c r="L3" s="8" t="inlineStr">
        <is>
          <t>AFTER</t>
        </is>
      </c>
      <c r="M3" s="8" t="inlineStr">
        <is>
          <t>RECEIPT</t>
        </is>
      </c>
      <c r="N3" s="7" t="inlineStr">
        <is>
          <t>DESCRIPTION</t>
        </is>
      </c>
      <c r="O3" s="8" t="inlineStr">
        <is>
          <t>SIGNED</t>
        </is>
      </c>
      <c r="P3" s="8" t="inlineStr">
        <is>
          <t>EMAILED</t>
        </is>
      </c>
      <c r="Q3" s="7" t="inlineStr">
        <is>
          <t>DESCRIPTION</t>
        </is>
      </c>
      <c r="R3" s="8" t="inlineStr">
        <is>
          <t>SIGNED</t>
        </is>
      </c>
      <c r="S3" s="8" t="inlineStr">
        <is>
          <t>EMAILED</t>
        </is>
      </c>
      <c r="T3" s="9" t="inlineStr">
        <is>
          <t>5 Star Review</t>
        </is>
      </c>
    </row>
    <row r="4">
      <c r="B4" s="1" t="inlineStr">
        <is>
          <t>SUCCESSFUL</t>
        </is>
      </c>
      <c r="C4" s="10">
        <f>O11</f>
        <v/>
      </c>
      <c r="E4" s="11" t="inlineStr">
        <is>
          <t>Tier 1</t>
        </is>
      </c>
      <c r="F4" t="inlineStr">
        <is>
          <t>&lt;$25000</t>
        </is>
      </c>
      <c r="G4" s="12">
        <f>0.05</f>
        <v/>
      </c>
      <c r="J4" s="3" t="inlineStr">
        <is>
          <t>TAKEN</t>
        </is>
      </c>
      <c r="K4" s="13">
        <f>L44</f>
        <v/>
      </c>
      <c r="L4" s="13">
        <f>M44</f>
        <v/>
      </c>
      <c r="M4" s="13">
        <f>N44</f>
        <v/>
      </c>
      <c r="N4" s="13">
        <f>O44</f>
        <v/>
      </c>
      <c r="O4" s="13">
        <f>P44</f>
        <v/>
      </c>
      <c r="P4" s="13">
        <f>Q44</f>
        <v/>
      </c>
      <c r="Q4" s="13">
        <f>R44</f>
        <v/>
      </c>
      <c r="R4" s="13">
        <f>S44</f>
        <v/>
      </c>
      <c r="S4" s="13">
        <f>T44</f>
        <v/>
      </c>
      <c r="T4" s="14">
        <f>SUM(U29:U42) + SUM(U47:U52) + SUM(U81:U88) + SUM(U92:U97) + SUM(U110:U117) + SUM(U121:U126)</f>
        <v/>
      </c>
    </row>
    <row r="5">
      <c r="B5" s="1" t="inlineStr">
        <is>
          <t>UNSUCCESSFUL</t>
        </is>
      </c>
      <c r="C5" s="10">
        <f>O12</f>
        <v/>
      </c>
      <c r="E5" s="15" t="inlineStr">
        <is>
          <t>Tier 2</t>
        </is>
      </c>
      <c r="F5" s="16" t="inlineStr">
        <is>
          <t>&gt;=$25000</t>
        </is>
      </c>
      <c r="G5" s="17">
        <f>0.1</f>
        <v/>
      </c>
      <c r="J5" s="7" t="inlineStr">
        <is>
          <t>%</t>
        </is>
      </c>
      <c r="K5" s="18">
        <f>L44/L43</f>
        <v/>
      </c>
      <c r="L5" s="18">
        <f>M44/M43</f>
        <v/>
      </c>
      <c r="M5" s="18">
        <f>N44/N43</f>
        <v/>
      </c>
      <c r="N5" s="18">
        <f>O44/O43</f>
        <v/>
      </c>
      <c r="O5" s="18">
        <f>P44/P43</f>
        <v/>
      </c>
      <c r="P5" s="18">
        <f>Q44/Q43</f>
        <v/>
      </c>
      <c r="Q5" s="18">
        <f>R44/R43</f>
        <v/>
      </c>
      <c r="R5" s="18">
        <f>S44/S43</f>
        <v/>
      </c>
      <c r="S5" s="18">
        <f>T44/T43</f>
        <v/>
      </c>
      <c r="T5" s="19" t="n"/>
    </row>
    <row r="6">
      <c r="B6" s="1" t="inlineStr">
        <is>
          <t>SUCCESSFUL (%)</t>
        </is>
      </c>
      <c r="C6" s="20">
        <f>O13</f>
        <v/>
      </c>
    </row>
    <row r="7">
      <c r="C7" s="21" t="n"/>
      <c r="F7" s="3" t="inlineStr">
        <is>
          <t>ACTUAL</t>
        </is>
      </c>
      <c r="G7" s="6" t="inlineStr">
        <is>
          <t>POTENTIAL</t>
        </is>
      </c>
      <c r="H7" s="22" t="inlineStr">
        <is>
          <t>Exc. SUPER</t>
        </is>
      </c>
    </row>
    <row r="8">
      <c r="B8" s="7" t="inlineStr">
        <is>
          <t>AVERAGE SALE</t>
        </is>
      </c>
      <c r="C8" s="23">
        <f>O14</f>
        <v/>
      </c>
      <c r="E8" s="3" t="inlineStr">
        <is>
          <t>NET PROFIT</t>
        </is>
      </c>
      <c r="F8" s="24">
        <f>P10-R10</f>
        <v/>
      </c>
      <c r="G8" s="25">
        <f>SUM(I29:I42) + SUM(I81:I88) + SUM(I110:I117) + SUM(I139:I144)</f>
        <v/>
      </c>
      <c r="K8" s="3" t="inlineStr">
        <is>
          <t>DAILY NET PROFIT</t>
        </is>
      </c>
      <c r="L8" s="4" t="n"/>
      <c r="M8" s="4" t="n"/>
      <c r="N8" s="4" t="n"/>
      <c r="O8" s="4" t="n"/>
      <c r="P8" s="4" t="n"/>
      <c r="Q8" s="4" t="n"/>
      <c r="R8" s="26" t="inlineStr">
        <is>
          <t>WEEKDAY</t>
        </is>
      </c>
      <c r="S8" s="27" t="inlineStr">
        <is>
          <t>WEEKEND</t>
        </is>
      </c>
    </row>
    <row r="9">
      <c r="E9" s="13" t="inlineStr">
        <is>
          <t>UNLOCKED</t>
        </is>
      </c>
      <c r="F9" s="28">
        <f>IF(P10&gt;=25000,G5,G4)</f>
        <v/>
      </c>
      <c r="G9" s="29">
        <f>=IF(G8&gt;=25000,G5,G4)</f>
        <v/>
      </c>
      <c r="K9" s="3" t="inlineStr">
        <is>
          <t>MON</t>
        </is>
      </c>
      <c r="L9" s="30" t="inlineStr">
        <is>
          <t>TUE</t>
        </is>
      </c>
      <c r="M9" s="30" t="inlineStr">
        <is>
          <t>WED</t>
        </is>
      </c>
      <c r="N9" s="30" t="inlineStr">
        <is>
          <t>THU</t>
        </is>
      </c>
      <c r="O9" s="30" t="inlineStr">
        <is>
          <t>FRI</t>
        </is>
      </c>
      <c r="P9" s="30" t="inlineStr">
        <is>
          <t>Total</t>
        </is>
      </c>
      <c r="Q9" s="31" t="inlineStr">
        <is>
          <t>SAT</t>
        </is>
      </c>
      <c r="R9" s="26" t="inlineStr">
        <is>
          <t>Awaiting Payment</t>
        </is>
      </c>
      <c r="S9" s="27" t="inlineStr">
        <is>
          <t>Awaiting Payment</t>
        </is>
      </c>
    </row>
    <row r="10">
      <c r="E10" s="13" t="inlineStr">
        <is>
          <t>COMMISSION - PAY OUT</t>
        </is>
      </c>
      <c r="F10" s="32">
        <f>F8*F9</f>
        <v/>
      </c>
      <c r="G10" s="33">
        <f>G8*G9</f>
        <v/>
      </c>
      <c r="H10" s="34">
        <f>F10/1.12</f>
        <v/>
      </c>
      <c r="K10" s="35">
        <f>SUMIF(C29:C42, "24/11/2025", I29:I42) + SUMIF(C47:C52, "24/11/2025", I47:I52) + SUMIF(C81:C88, "24/11/2025", I81:I88) + SUMIF(C92:C97, "24/11/2025", I92:I97) + SUMIF(C110:C117, "24/11/2025", I110:I117) + SUMIF(C121:C126, "24/11/2025", I121:I126)</f>
        <v/>
      </c>
      <c r="L10" s="36">
        <f>SUMIF(C29:C42, "25/11/2025", I29:I42) + SUMIF(C47:C52, "25/11/2025", I47:I52) + SUMIF(C81:C88, "25/11/2025", I81:I88) + SUMIF(C92:C97, "25/11/2025", I92:I97) + SUMIF(C110:C117, "25/11/2025", I110:I117) + SUMIF(C121:C126, "25/11/2025", I121:I126)</f>
        <v/>
      </c>
      <c r="M10" s="36">
        <f>SUMIF(C29:C42, "26/11/2025", I29:I42) + SUMIF(C47:C52, "26/11/2025", I47:I52) + SUMIF(C81:C88, "26/11/2025", I81:I88) + SUMIF(C92:C97, "26/11/2025", I92:I97) + SUMIF(C110:C117, "26/11/2025", I110:I117) + SUMIF(C121:C126, "26/11/2025", I121:I126)</f>
        <v/>
      </c>
      <c r="N10" s="36">
        <f>SUMIF(C29:C42, "27/11/2025", I29:I42) + SUMIF(C47:C52, "27/11/2025", I47:I52) + SUMIF(C81:C88, "27/11/2025", I81:I88) + SUMIF(C92:C97, "27/11/2025", I92:I97) + SUMIF(C110:C117, "27/11/2025", I110:I117) + SUMIF(C121:C126, "27/11/2025", I121:I126)</f>
        <v/>
      </c>
      <c r="O10" s="36">
        <f>SUMIF(C29:C42, "28/11/2025", I29:I42) + SUMIF(C47:C52, "28/11/2025", I47:I52) + SUMIF(C81:C88, "28/11/2025", I81:I88) + SUMIF(C92:C97, "28/11/2025", I92:I97) + SUMIF(C110:C117, "28/11/2025", I110:I117) + SUMIF(C121:C126, "28/11/2025", I121:I126)</f>
        <v/>
      </c>
      <c r="P10" s="36">
        <f>SUM(J10:N10)</f>
        <v/>
      </c>
      <c r="Q10" s="37">
        <f>SUMIF(C29:C42, "29/11/2025", I29:I42) + SUMIF(C47:C52, "29/11/2025", I47:I52) + SUMIF(C81:C88, "29/11/2025", I81:I88) + SUMIF(C92:C97, "29/11/2025", I92:I97) + SUMIF(C110:C117, "29/11/2025", I110:I117) + SUMIF(C121:C126, "29/11/2025", I121:I126)</f>
        <v/>
      </c>
      <c r="R10" s="38">
        <f>SUM(I81:I88) + SUM(I110:I117)</f>
        <v/>
      </c>
      <c r="S10" s="39">
        <f>SUM(I92:I97) + SUM(I121:I126)</f>
        <v/>
      </c>
    </row>
    <row r="11">
      <c r="E11" s="13" t="inlineStr">
        <is>
          <t>EMERGENCY</t>
        </is>
      </c>
      <c r="F11" s="32">
        <f>P10</f>
        <v/>
      </c>
      <c r="G11" s="21" t="n"/>
      <c r="J11" t="inlineStr">
        <is>
          <t>Successful</t>
        </is>
      </c>
      <c r="K11">
        <f>COUNTIF(C29:C42, "24/11/2025") + COUNTIF(C47:C52, "24/11/2025") + COUNTIF(C81:C88, "24/11/2025") + COUNTIF(C92:C97, "24/11/2025") + COUNTIF(C110:C117, "24/11/2025") + COUNTIF(C121:C126, "24/11/2025")</f>
        <v/>
      </c>
      <c r="L11">
        <f>COUNTIF(C29:C42, "25/11/2025") + COUNTIF(C47:C52, "25/11/2025") + COUNTIF(C81:C88, "25/11/2025") + COUNTIF(C92:C97, "25/11/2025") + COUNTIF(C110:C117, "25/11/2025") + COUNTIF(C121:C126, "25/11/2025")</f>
        <v/>
      </c>
      <c r="M11">
        <f>COUNTIF(C29:C42, "26/11/2025") + COUNTIF(C47:C52, "26/11/2025") + COUNTIF(C81:C88, "26/11/2025") + COUNTIF(C92:C97, "26/11/2025") + COUNTIF(C110:C117, "26/11/2025") + COUNTIF(C121:C126, "26/11/2025")</f>
        <v/>
      </c>
      <c r="N11">
        <f>COUNTIF(C29:C42, "27/11/2025") + COUNTIF(C47:C52, "27/11/2025") + COUNTIF(C81:C88, "27/11/2025") + COUNTIF(C92:C97, "27/11/2025") + COUNTIF(C110:C117, "27/11/2025") + COUNTIF(C121:C126, "27/11/2025")</f>
        <v/>
      </c>
      <c r="O11">
        <f>COUNTIF(C29:C42, "28/11/2025") + COUNTIF(C47:C52, "28/11/2025") + COUNTIF(C81:C88, "28/11/2025") + COUNTIF(C92:C97, "28/11/2025") + COUNTIF(C110:C117, "28/11/2025") + COUNTIF(C121:C126, "28/11/2025")</f>
        <v/>
      </c>
      <c r="P11">
        <f>SUM(K11:O11)</f>
        <v/>
      </c>
      <c r="Q11">
        <f>COUNTIF(C29:C42, "29/11/2025") + COUNTIF(C47:C52, "29/11/2025") + COUNTIF(C81:C88, "29/11/2025") + COUNTIF(C92:C97, "29/11/2025") + COUNTIF(C110:C117, "29/11/2025") + COUNTIF(C121:C126, "29/11/2025")</f>
        <v/>
      </c>
    </row>
    <row r="12">
      <c r="E12" s="13" t="inlineStr">
        <is>
          <t>EMERGENCY - PAY OUT</t>
        </is>
      </c>
      <c r="F12" s="32">
        <f>F11*0.25</f>
        <v/>
      </c>
      <c r="G12" s="21" t="n"/>
      <c r="H12" s="34">
        <f>F12/1.12</f>
        <v/>
      </c>
      <c r="J12" t="inlineStr">
        <is>
          <t>Unsuccessful</t>
        </is>
      </c>
      <c r="K12">
        <f>COUNTIF(C139:C144, "24/11/2025") + COUNTIF(C148:C153, "24/11/2025")</f>
        <v/>
      </c>
      <c r="L12">
        <f>COUNTIF(C139:C144, "25/11/2025") + COUNTIF(C148:C153, "25/11/2025")</f>
        <v/>
      </c>
      <c r="M12">
        <f>COUNTIF(C139:C144, "26/11/2025") + COUNTIF(C148:C153, "26/11/2025")</f>
        <v/>
      </c>
      <c r="N12">
        <f>COUNTIF(C139:C144, "27/11/2025") + COUNTIF(C148:C153, "27/11/2025")</f>
        <v/>
      </c>
      <c r="O12">
        <f>COUNTIF(C139:C144, "28/11/2025") + COUNTIF(C148:C153, "28/11/2025")</f>
        <v/>
      </c>
      <c r="P12">
        <f>SUM(K12:O12)</f>
        <v/>
      </c>
      <c r="Q12">
        <f>COUNTIF(C139:C144, "29/11/2025") + COUNTIF(C148:C153, "29/11/2025")</f>
        <v/>
      </c>
    </row>
    <row r="13">
      <c r="E13" s="13" t="inlineStr">
        <is>
          <t>PREV. WEEK</t>
        </is>
      </c>
      <c r="F13" s="11" t="n">
        <v>0</v>
      </c>
      <c r="G13" s="40" t="n">
        <v>0</v>
      </c>
      <c r="J13" t="inlineStr">
        <is>
          <t>Success rate</t>
        </is>
      </c>
      <c r="K13" s="41">
        <f>K11/(K11+K12)</f>
        <v/>
      </c>
      <c r="L13" s="41">
        <f>L11/(L11+L12)</f>
        <v/>
      </c>
      <c r="M13" s="41">
        <f>M11/(M11+M12)</f>
        <v/>
      </c>
      <c r="N13" s="41">
        <f>N11/(N11+N12)</f>
        <v/>
      </c>
      <c r="O13" s="41">
        <f>O11/(O11+O12)</f>
        <v/>
      </c>
      <c r="P13" s="41">
        <f>P11/(P11+P12)</f>
        <v/>
      </c>
      <c r="Q13" s="41">
        <f>Q11/(Q11+Q12)</f>
        <v/>
      </c>
    </row>
    <row r="14">
      <c r="E14" s="7" t="inlineStr">
        <is>
          <t>PREV. WEEK - PAY OUT</t>
        </is>
      </c>
      <c r="F14" s="42">
        <f>F13*0.05</f>
        <v/>
      </c>
      <c r="G14" s="43">
        <f>=G13*0.05</f>
        <v/>
      </c>
      <c r="H14" s="34">
        <f>F14/1.12</f>
        <v/>
      </c>
      <c r="J14" t="inlineStr">
        <is>
          <t>Avg sale</t>
        </is>
      </c>
      <c r="K14" s="44">
        <f>K10/K11</f>
        <v/>
      </c>
      <c r="L14" s="44">
        <f>L10/L11</f>
        <v/>
      </c>
      <c r="M14" s="44">
        <f>M10/M11</f>
        <v/>
      </c>
      <c r="N14" s="44">
        <f>N10/N11</f>
        <v/>
      </c>
      <c r="O14" s="44">
        <f>O10/O11</f>
        <v/>
      </c>
      <c r="P14" s="44">
        <f>P10/P11</f>
        <v/>
      </c>
      <c r="Q14" s="44">
        <f>Q10/Q11</f>
        <v/>
      </c>
    </row>
    <row r="15">
      <c r="E15" s="45" t="inlineStr">
        <is>
          <t>5 Star Review</t>
        </is>
      </c>
      <c r="F15" s="32">
        <f>F16*50</f>
        <v/>
      </c>
    </row>
    <row r="16">
      <c r="E16" s="45" t="inlineStr">
        <is>
          <t>5 Star Notes</t>
        </is>
      </c>
      <c r="F16" s="11">
        <f>T4</f>
        <v/>
      </c>
      <c r="K16" s="46" t="inlineStr">
        <is>
          <t>Management Summary - SALES ONLY - COLUMN F</t>
        </is>
      </c>
      <c r="L16" s="47" t="n"/>
      <c r="M16" s="47" t="n"/>
      <c r="N16" s="47" t="n"/>
      <c r="O16" s="47" t="n"/>
      <c r="P16" s="47" t="n"/>
      <c r="Q16" s="47" t="n"/>
      <c r="R16" s="48" t="inlineStr">
        <is>
          <t>WEEKDAY</t>
        </is>
      </c>
      <c r="S16" s="49" t="inlineStr">
        <is>
          <t>WEEKEND</t>
        </is>
      </c>
    </row>
    <row r="17">
      <c r="K17" s="3" t="inlineStr">
        <is>
          <t>MON</t>
        </is>
      </c>
      <c r="L17" s="30" t="inlineStr">
        <is>
          <t>TUE</t>
        </is>
      </c>
      <c r="M17" s="30" t="inlineStr">
        <is>
          <t>WED</t>
        </is>
      </c>
      <c r="N17" s="30" t="inlineStr">
        <is>
          <t>THU</t>
        </is>
      </c>
      <c r="O17" s="30" t="inlineStr">
        <is>
          <t>FRI</t>
        </is>
      </c>
      <c r="P17" s="30" t="inlineStr">
        <is>
          <t>Total</t>
        </is>
      </c>
      <c r="Q17" s="31" t="inlineStr">
        <is>
          <t>SAT</t>
        </is>
      </c>
      <c r="R17" s="26" t="inlineStr">
        <is>
          <t>Awaiting Payment</t>
        </is>
      </c>
      <c r="S17" s="27" t="inlineStr">
        <is>
          <t>Awaiting Payment</t>
        </is>
      </c>
    </row>
    <row r="18">
      <c r="K18" s="35">
        <f>SUMIF(C29:C42, "24/11/2025", F29:F42) + SUMIF(C47:C52, "24/11/2025", F47:F52) + SUMIF(C81:C88, "24/11/2025", F81:F88) + SUMIF(C92:C97, "24/11/2025", F92:F97) + SUMIF(C110:C117, "24/11/2025", F110:F117) + SUMIF(C121:C126, "24/11/2025", F121:F126)</f>
        <v/>
      </c>
      <c r="L18" s="36">
        <f>SUMIF(C29:C42, "25/11/2025", F29:F42) + SUMIF(C47:C52, "25/11/2025", F47:F52) + SUMIF(C81:C88, "25/11/2025", F81:F88) + SUMIF(C92:C97, "25/11/2025", F92:F97) + SUMIF(C110:C117, "25/11/2025", F110:F117) + SUMIF(C121:C126, "25/11/2025", F121:F126)</f>
        <v/>
      </c>
      <c r="M18" s="36">
        <f>SUMIF(C29:C42, "26/11/2025", F29:F42) + SUMIF(C47:C52, "26/11/2025", F47:F52) + SUMIF(C81:C88, "26/11/2025", F81:F88) + SUMIF(C92:C97, "26/11/2025", F92:F97) + SUMIF(C110:C117, "26/11/2025", F110:F117) + SUMIF(C121:C126, "26/11/2025", F121:F126)</f>
        <v/>
      </c>
      <c r="N18" s="36">
        <f>SUMIF(C29:C42, "27/11/2025", F29:F42) + SUMIF(C47:C52, "27/11/2025", F47:F52) + SUMIF(C81:C88, "27/11/2025", F81:F88) + SUMIF(C92:C97, "27/11/2025", F92:F97) + SUMIF(C110:C117, "27/11/2025", F110:F117) + SUMIF(C121:C126, "27/11/2025", F121:F126)</f>
        <v/>
      </c>
      <c r="O18" s="36">
        <f>SUMIF(C29:C42, "28/11/2025", F29:F42) + SUMIF(C47:C52, "28/11/2025", F47:F52) + SUMIF(C81:C88, "28/11/2025", F81:F88) + SUMIF(C92:C97, "28/11/2025", F92:F97) + SUMIF(C110:C117, "28/11/2025", F110:F117) + SUMIF(C121:C126, "28/11/2025", F121:F126)</f>
        <v/>
      </c>
      <c r="P18" s="36">
        <f>SUM(K18:O18)</f>
        <v/>
      </c>
      <c r="Q18" s="37">
        <f>SUMIF(C29:C42, "29/11/2025", F29:F42) + SUMIF(C47:C52, "29/11/2025", F47:F52) + SUMIF(C81:C88, "29/11/2025", F81:F88) + SUMIF(C92:C97, "29/11/2025", F92:F97) + SUMIF(C110:C117, "29/11/2025", F110:F117) + SUMIF(C121:C126, "29/11/2025", F121:F126)</f>
        <v/>
      </c>
      <c r="R18" s="38">
        <f>SUM(F81:F88) + SUM(F110:F117)</f>
        <v/>
      </c>
      <c r="S18" s="39">
        <f>SUM(F92:F97) + SUM(F121:F126)</f>
        <v/>
      </c>
    </row>
    <row r="19">
      <c r="J19" t="inlineStr">
        <is>
          <t>Successful</t>
        </is>
      </c>
      <c r="K19">
        <f>K11</f>
        <v/>
      </c>
      <c r="L19">
        <f>L11</f>
        <v/>
      </c>
      <c r="M19">
        <f>M11</f>
        <v/>
      </c>
      <c r="N19">
        <f>N11</f>
        <v/>
      </c>
      <c r="O19">
        <f>O11</f>
        <v/>
      </c>
      <c r="P19">
        <f>P11</f>
        <v/>
      </c>
      <c r="Q19">
        <f>Q11</f>
        <v/>
      </c>
    </row>
    <row r="20">
      <c r="J20" t="inlineStr">
        <is>
          <t>Unsuccessful</t>
        </is>
      </c>
      <c r="K20">
        <f>K12</f>
        <v/>
      </c>
      <c r="L20">
        <f>L12</f>
        <v/>
      </c>
      <c r="M20">
        <f>M12</f>
        <v/>
      </c>
      <c r="N20">
        <f>N12</f>
        <v/>
      </c>
      <c r="O20">
        <f>O12</f>
        <v/>
      </c>
      <c r="P20">
        <f>P12</f>
        <v/>
      </c>
      <c r="Q20">
        <f>Q12</f>
        <v/>
      </c>
    </row>
    <row r="21">
      <c r="J21" t="inlineStr">
        <is>
          <t>Success rate</t>
        </is>
      </c>
      <c r="K21" s="41">
        <f>K13</f>
        <v/>
      </c>
      <c r="L21" s="41">
        <f>L13</f>
        <v/>
      </c>
      <c r="M21" s="41">
        <f>M13</f>
        <v/>
      </c>
      <c r="N21" s="41">
        <f>N13</f>
        <v/>
      </c>
      <c r="O21" s="41">
        <f>O13</f>
        <v/>
      </c>
      <c r="P21" s="41">
        <f>P13</f>
        <v/>
      </c>
      <c r="Q21" s="41">
        <f>Q13</f>
        <v/>
      </c>
    </row>
    <row r="22">
      <c r="J22" t="inlineStr">
        <is>
          <t>Avg sale</t>
        </is>
      </c>
      <c r="K22" s="44">
        <f>K18/K19</f>
        <v/>
      </c>
      <c r="L22" s="44">
        <f>L18/L19</f>
        <v/>
      </c>
      <c r="M22" s="44">
        <f>M18/M19</f>
        <v/>
      </c>
      <c r="N22" s="44">
        <f>N18/N19</f>
        <v/>
      </c>
      <c r="O22" s="44">
        <f>O18/O19</f>
        <v/>
      </c>
      <c r="P22" s="44">
        <f>P18/P19</f>
        <v/>
      </c>
      <c r="Q22" s="44">
        <f>Q18/Q19</f>
        <v/>
      </c>
    </row>
    <row r="26">
      <c r="B26" s="50" t="inlineStr">
        <is>
          <t>JOB DETAILS</t>
        </is>
      </c>
      <c r="C26" s="4" t="n"/>
      <c r="D26" s="4" t="n"/>
      <c r="E26" s="4" t="n"/>
      <c r="F26" s="50" t="inlineStr">
        <is>
          <t>JOB AMOUNT</t>
        </is>
      </c>
      <c r="G26" s="4" t="n"/>
      <c r="H26" s="4" t="n"/>
      <c r="I26" s="4" t="n"/>
      <c r="J26" s="4" t="n"/>
      <c r="K26" s="50" t="n"/>
      <c r="L26" s="50" t="inlineStr">
        <is>
          <t>PHOTOS</t>
        </is>
      </c>
      <c r="M26" s="4" t="n"/>
      <c r="N26" s="4" t="n"/>
      <c r="O26" s="50" t="inlineStr">
        <is>
          <t>QUOTE</t>
        </is>
      </c>
      <c r="P26" s="4" t="n"/>
      <c r="Q26" s="4" t="n"/>
      <c r="R26" s="50" t="inlineStr">
        <is>
          <t>INVOICE</t>
        </is>
      </c>
      <c r="S26" s="4" t="n"/>
      <c r="T26" s="4" t="n"/>
      <c r="U26" s="4" t="n"/>
      <c r="V26" s="5" t="inlineStr">
        <is>
          <t>NOTES</t>
        </is>
      </c>
    </row>
    <row r="27">
      <c r="B27" s="15" t="inlineStr">
        <is>
          <t>JOB STATUS</t>
        </is>
      </c>
      <c r="C27" s="16" t="inlineStr">
        <is>
          <t>DATE</t>
        </is>
      </c>
      <c r="D27" s="16" t="inlineStr">
        <is>
          <t>JOB #</t>
        </is>
      </c>
      <c r="E27" s="51" t="inlineStr">
        <is>
          <t>SUBURB</t>
        </is>
      </c>
      <c r="F27" s="16" t="inlineStr">
        <is>
          <t>AMOUNT EXC. GST</t>
        </is>
      </c>
      <c r="G27" s="16" t="inlineStr">
        <is>
          <t>MATERIALS</t>
        </is>
      </c>
      <c r="H27" s="16" t="inlineStr">
        <is>
          <t>MERCHANT FEES</t>
        </is>
      </c>
      <c r="I27" s="16" t="inlineStr">
        <is>
          <t>NET PROFIT</t>
        </is>
      </c>
      <c r="J27" s="51" t="inlineStr">
        <is>
          <t>PAID</t>
        </is>
      </c>
      <c r="K27" s="51" t="inlineStr">
        <is>
          <t>DOC CHECK DONE</t>
        </is>
      </c>
      <c r="L27" s="16" t="inlineStr">
        <is>
          <t>BEFORE</t>
        </is>
      </c>
      <c r="M27" s="16" t="inlineStr">
        <is>
          <t>AFTER</t>
        </is>
      </c>
      <c r="N27" s="51" t="inlineStr">
        <is>
          <t>RECEIPT</t>
        </is>
      </c>
      <c r="O27" s="16" t="inlineStr">
        <is>
          <t>DESCRIPTION</t>
        </is>
      </c>
      <c r="P27" s="16" t="inlineStr">
        <is>
          <t>SIGNED</t>
        </is>
      </c>
      <c r="Q27" s="51" t="inlineStr">
        <is>
          <t>EMAILED</t>
        </is>
      </c>
      <c r="R27" s="16" t="inlineStr">
        <is>
          <t>DESCRIPTION</t>
        </is>
      </c>
      <c r="S27" s="16" t="inlineStr">
        <is>
          <t>SIGNED</t>
        </is>
      </c>
      <c r="T27" s="51" t="inlineStr">
        <is>
          <t>EMAILED</t>
        </is>
      </c>
      <c r="U27" s="16" t="inlineStr">
        <is>
          <t>5 Star Review</t>
        </is>
      </c>
      <c r="V27" s="51" t="n"/>
      <c r="W27" s="52" t="inlineStr">
        <is>
          <t>EFTPOS</t>
        </is>
      </c>
      <c r="X27" s="52" t="inlineStr">
        <is>
          <t>CASH</t>
        </is>
      </c>
      <c r="Y27" s="52" t="inlineStr">
        <is>
          <t>Payment Plan</t>
        </is>
      </c>
    </row>
    <row r="28">
      <c r="B28" t="inlineStr">
        <is>
          <t>COMPLETED &amp; PAID JOBS</t>
        </is>
      </c>
      <c r="W28" s="52" t="n"/>
      <c r="X28" s="52" t="n"/>
      <c r="Y28" s="52" t="n"/>
    </row>
    <row r="29">
      <c r="B29" t="n">
        <v>1</v>
      </c>
      <c r="C29" t="inlineStr">
        <is>
          <t>24/11/2025</t>
        </is>
      </c>
      <c r="D29" t="n">
        <v>100212</v>
      </c>
      <c r="E29" t="inlineStr">
        <is>
          <t>Airport West</t>
        </is>
      </c>
      <c r="F29" s="44" t="n">
        <v>2419.27</v>
      </c>
      <c r="G29" s="44" t="n">
        <v>483.854</v>
      </c>
      <c r="I29" s="44">
        <f>F29-G29-H29</f>
        <v/>
      </c>
      <c r="J29" t="inlineStr">
        <is>
          <t>Credit Card</t>
        </is>
      </c>
      <c r="K29" s="53">
        <f>IF(OR(L29=0, M29=0, N29=0, O29=0, P29=0, Q29=0, R29=0, S29=0, T29=0), "N","Y")</f>
        <v/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s="54">
        <f>2395.20+266.00</f>
        <v/>
      </c>
      <c r="X29" s="52" t="n"/>
      <c r="Y29" s="52" t="n"/>
      <c r="Z29" s="55">
        <f>ROUND(F29*1.1,2)</f>
        <v/>
      </c>
      <c r="AA29" s="55">
        <f>ROUND(Z29 - W29 - X29 - Y29,2)</f>
        <v/>
      </c>
    </row>
    <row r="30">
      <c r="B30" t="n">
        <v>2</v>
      </c>
      <c r="C30" t="inlineStr">
        <is>
          <t>24/11/2025</t>
        </is>
      </c>
      <c r="D30" t="n">
        <v>100209</v>
      </c>
      <c r="E30" t="inlineStr">
        <is>
          <t>Thomastown</t>
        </is>
      </c>
      <c r="F30" s="44" t="n">
        <v>6214</v>
      </c>
      <c r="G30" s="44" t="n">
        <v>1242.8</v>
      </c>
      <c r="I30" s="44">
        <f>F30-G30-H30</f>
        <v/>
      </c>
      <c r="J30" t="inlineStr">
        <is>
          <t>Credit Card, EFT/Bank Transfer</t>
        </is>
      </c>
      <c r="K30" s="53">
        <f>IF(OR(L30=0, M30=0, N30=0, O30=0, P30=0, Q30=0, R30=0, S30=0, T30=0), "N","Y")</f>
        <v/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W30" s="54">
        <f>6152.40+683.00</f>
        <v/>
      </c>
      <c r="X30" s="52" t="n"/>
      <c r="Y30" s="52" t="n"/>
      <c r="Z30" s="55">
        <f>ROUND(F30*1.1,2)</f>
        <v/>
      </c>
      <c r="AA30" s="55">
        <f>ROUND(Z30 - W30 - X30 - Y30,2)</f>
        <v/>
      </c>
    </row>
    <row r="31">
      <c r="B31" t="n">
        <v>3</v>
      </c>
      <c r="C31" t="inlineStr">
        <is>
          <t>25/11/2025</t>
        </is>
      </c>
      <c r="D31" t="n">
        <v>100261</v>
      </c>
      <c r="E31" t="inlineStr">
        <is>
          <t>Carlton North</t>
        </is>
      </c>
      <c r="F31" s="44" t="n">
        <v>1132.66</v>
      </c>
      <c r="G31" s="44" t="n">
        <v>226.532</v>
      </c>
      <c r="I31" s="44">
        <f>F31-G31-H31</f>
        <v/>
      </c>
      <c r="J31" t="inlineStr">
        <is>
          <t>Credit Card</t>
        </is>
      </c>
      <c r="K31" s="53">
        <f>IF(OR(L31=0, M31=0, N31=0, O31=0, P31=0, Q31=0, R31=0, S31=0, T31=0), "N","Y")</f>
        <v/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W31" s="54">
        <f>1121.93+124.00</f>
        <v/>
      </c>
      <c r="X31" s="52" t="n"/>
      <c r="Y31" s="52" t="n"/>
      <c r="Z31" s="55">
        <f>ROUND(F31*1.1,2)</f>
        <v/>
      </c>
      <c r="AA31" s="55">
        <f>ROUND(Z31 - W31 - X31 - Y31,2)</f>
        <v/>
      </c>
    </row>
    <row r="32">
      <c r="B32" t="n">
        <v>4</v>
      </c>
      <c r="C32" t="inlineStr">
        <is>
          <t>25/11/2025</t>
        </is>
      </c>
      <c r="D32" t="n">
        <v>100272</v>
      </c>
      <c r="E32" t="inlineStr">
        <is>
          <t>Alphington</t>
        </is>
      </c>
      <c r="F32" s="44" t="n">
        <v>728.67</v>
      </c>
      <c r="G32" s="44" t="n">
        <v>145.734</v>
      </c>
      <c r="I32" s="44">
        <f>F32-G32-H32</f>
        <v/>
      </c>
      <c r="J32" t="inlineStr">
        <is>
          <t>Credit Card</t>
        </is>
      </c>
      <c r="K32" s="53">
        <f>IF(OR(L32=0, M32=0, N32=0, O32=0, P32=0, Q32=0, R32=0, S32=0, T32=0), "N","Y")</f>
        <v/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W32" s="54">
        <f>721.54+80.00</f>
        <v/>
      </c>
      <c r="X32" s="52" t="n"/>
      <c r="Y32" s="52" t="n"/>
      <c r="Z32" s="55">
        <f>ROUND(F32*1.1,2)</f>
        <v/>
      </c>
      <c r="AA32" s="55">
        <f>ROUND(Z32 - W32 - X32 - Y32,2)</f>
        <v/>
      </c>
    </row>
    <row r="33">
      <c r="B33" t="n">
        <v>5</v>
      </c>
      <c r="C33" t="inlineStr">
        <is>
          <t>26/11/2025</t>
        </is>
      </c>
      <c r="D33" t="n">
        <v>100299</v>
      </c>
      <c r="E33" t="inlineStr">
        <is>
          <t>North Melbourne</t>
        </is>
      </c>
      <c r="F33" s="44" t="n">
        <v>1406.94</v>
      </c>
      <c r="G33" s="44" t="n">
        <v>281.388</v>
      </c>
      <c r="I33" s="44">
        <f>F33-G33-H33</f>
        <v/>
      </c>
      <c r="J33" t="inlineStr">
        <is>
          <t>Credit Card</t>
        </is>
      </c>
      <c r="K33" s="53">
        <f>IF(OR(L33=0, M33=0, N33=0, O33=0, P33=0, Q33=0, R33=0, S33=0, T33=0), "N","Y")</f>
        <v/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W33" s="54">
        <f>1397.63+150.00</f>
        <v/>
      </c>
      <c r="X33" s="52" t="n"/>
      <c r="Y33" s="52" t="n"/>
      <c r="Z33" s="55">
        <f>ROUND(F33*1.1,2)</f>
        <v/>
      </c>
      <c r="AA33" s="55">
        <f>ROUND(Z33 - W33 - X33 - Y33,2)</f>
        <v/>
      </c>
    </row>
    <row r="34">
      <c r="B34" t="n">
        <v>6</v>
      </c>
      <c r="C34" t="inlineStr">
        <is>
          <t>26/11/2025</t>
        </is>
      </c>
      <c r="D34" t="n">
        <v>100184</v>
      </c>
      <c r="E34" t="inlineStr">
        <is>
          <t>Watsonia North</t>
        </is>
      </c>
      <c r="F34" s="44" t="n">
        <v>1349.27</v>
      </c>
      <c r="G34" s="44" t="n">
        <v>269.854</v>
      </c>
      <c r="I34" s="44">
        <f>F34-G34-H34</f>
        <v/>
      </c>
      <c r="J34" t="inlineStr">
        <is>
          <t>Credit Card</t>
        </is>
      </c>
      <c r="K34" s="53">
        <f>IF(OR(L34=0, M34=0, N34=0, O34=0, P34=0, Q34=0, R34=0, S34=0, T34=0), "N","Y")</f>
        <v/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W34" s="54">
        <f>1484.20</f>
        <v/>
      </c>
      <c r="X34" s="52" t="n"/>
      <c r="Y34" s="52" t="n"/>
      <c r="Z34" s="55">
        <f>ROUND(F34*1.1,2)</f>
        <v/>
      </c>
      <c r="AA34" s="55">
        <f>ROUND(Z34 - W34 - X34 - Y34,2)</f>
        <v/>
      </c>
    </row>
    <row r="35">
      <c r="B35" t="n">
        <v>7</v>
      </c>
      <c r="C35" t="inlineStr">
        <is>
          <t>26/11/2025</t>
        </is>
      </c>
      <c r="D35" t="n">
        <v>100291</v>
      </c>
      <c r="E35" t="inlineStr">
        <is>
          <t>Coburg</t>
        </is>
      </c>
      <c r="F35" s="44" t="n">
        <v>1168.6</v>
      </c>
      <c r="G35" s="44" t="n">
        <v>233.72</v>
      </c>
      <c r="I35" s="44">
        <f>F35-G35-H35</f>
        <v/>
      </c>
      <c r="J35" t="inlineStr">
        <is>
          <t>EFT/Bank Transfer</t>
        </is>
      </c>
      <c r="K35" s="53">
        <f>IF(OR(L35=0, M35=0, N35=0, O35=0, P35=0, Q35=0, R35=0, S35=0, T35=0), "N","Y")</f>
        <v/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W35" s="54">
        <f>1157.46+128.00</f>
        <v/>
      </c>
      <c r="X35" s="52" t="n"/>
      <c r="Y35" s="52" t="n"/>
      <c r="Z35" s="55">
        <f>ROUND(F35*1.1,2)</f>
        <v/>
      </c>
      <c r="AA35" s="55">
        <f>ROUND(Z35 - W35 - X35 - Y35,2)</f>
        <v/>
      </c>
    </row>
    <row r="36">
      <c r="B36" t="n">
        <v>8</v>
      </c>
      <c r="C36" t="inlineStr">
        <is>
          <t>28/11/2025</t>
        </is>
      </c>
      <c r="D36" t="n">
        <v>100373</v>
      </c>
      <c r="E36" t="inlineStr">
        <is>
          <t>Ivanhoe East</t>
        </is>
      </c>
      <c r="F36" s="44" t="n">
        <v>1618.8</v>
      </c>
      <c r="G36" s="44" t="n">
        <v>323.76</v>
      </c>
      <c r="I36" s="44">
        <f>F36-G36-H36</f>
        <v/>
      </c>
      <c r="J36" t="inlineStr">
        <is>
          <t>Credit Card</t>
        </is>
      </c>
      <c r="K36" s="53">
        <f>IF(OR(L36=0, M36=0, N36=0, O36=0, P36=0, Q36=0, R36=0, S36=0, T36=0), "N","Y")</f>
        <v/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W36" s="54">
        <f>1610.68+170.00</f>
        <v/>
      </c>
      <c r="X36" s="52" t="n"/>
      <c r="Y36" s="52" t="n"/>
      <c r="Z36" s="55">
        <f>ROUND(F36*1.1,2)</f>
        <v/>
      </c>
      <c r="AA36" s="55">
        <f>ROUND(Z36 - W36 - X36 - Y36,2)</f>
        <v/>
      </c>
    </row>
    <row r="37">
      <c r="B37" t="n">
        <v>9</v>
      </c>
      <c r="C37" t="inlineStr">
        <is>
          <t>28/11/2025</t>
        </is>
      </c>
      <c r="D37" t="n">
        <v>100382</v>
      </c>
      <c r="E37" t="inlineStr">
        <is>
          <t>Thornbury</t>
        </is>
      </c>
      <c r="F37" s="44" t="n">
        <v>1073</v>
      </c>
      <c r="G37" s="44" t="n">
        <v>214.6</v>
      </c>
      <c r="I37" s="44">
        <f>F37-G37-H37</f>
        <v/>
      </c>
      <c r="J37" t="inlineStr">
        <is>
          <t>Credit Card</t>
        </is>
      </c>
      <c r="K37" s="53">
        <f>IF(OR(L37=0, M37=0, N37=0, O37=0, P37=0, Q37=0, R37=0, S37=0, T37=0), "N","Y")</f>
        <v/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W37" s="54">
        <f>1062.30+118.00</f>
        <v/>
      </c>
      <c r="X37" s="52" t="n"/>
      <c r="Y37" s="52" t="n"/>
      <c r="Z37" s="55">
        <f>ROUND(F37*1.1,2)</f>
        <v/>
      </c>
      <c r="AA37" s="55">
        <f>ROUND(Z37 - W37 - X37 - Y37,2)</f>
        <v/>
      </c>
    </row>
    <row r="38">
      <c r="W38" s="52" t="n"/>
      <c r="X38" s="52" t="n"/>
      <c r="Y38" s="52" t="n"/>
    </row>
    <row r="39">
      <c r="W39" s="52" t="n"/>
      <c r="X39" s="52" t="n"/>
      <c r="Y39" s="52" t="n"/>
    </row>
    <row r="40">
      <c r="W40" s="52" t="n"/>
      <c r="X40" s="52" t="n"/>
      <c r="Y40" s="52" t="n"/>
    </row>
    <row r="41">
      <c r="W41" s="52" t="n"/>
      <c r="X41" s="52" t="n"/>
      <c r="Y41" s="52" t="n"/>
    </row>
    <row r="42">
      <c r="W42" s="52" t="n"/>
      <c r="X42" s="52" t="n"/>
      <c r="Y42" s="52" t="n"/>
    </row>
    <row r="43">
      <c r="F43" s="56">
        <f>SUM(F29:F42)</f>
        <v/>
      </c>
      <c r="G43" s="56">
        <f>SUM(G29:G42)</f>
        <v/>
      </c>
      <c r="H43" s="56">
        <f>SUM(H29:H42)</f>
        <v/>
      </c>
      <c r="I43" s="56">
        <f>SUM(I29:I42)</f>
        <v/>
      </c>
      <c r="L43">
        <f>COUNT(L29:L42)</f>
        <v/>
      </c>
      <c r="M43">
        <f>COUNT(M29:M42)</f>
        <v/>
      </c>
      <c r="N43">
        <f>COUNT(N29:N42)</f>
        <v/>
      </c>
      <c r="O43">
        <f>COUNT(O29:O42)</f>
        <v/>
      </c>
      <c r="P43">
        <f>COUNT(P29:P42)</f>
        <v/>
      </c>
      <c r="Q43">
        <f>COUNT(Q29:Q42)</f>
        <v/>
      </c>
      <c r="R43">
        <f>COUNT(R29:R42)</f>
        <v/>
      </c>
      <c r="S43">
        <f>COUNT(S29:S42)</f>
        <v/>
      </c>
      <c r="T43">
        <f>COUNT(T29:T42)</f>
        <v/>
      </c>
      <c r="U43">
        <f>COUNT(U29:U42)</f>
        <v/>
      </c>
      <c r="W43" s="52" t="n"/>
      <c r="X43" s="52" t="n"/>
      <c r="Y43" s="52" t="n"/>
    </row>
    <row r="44">
      <c r="L44">
        <f>SUM(L29:L42)</f>
        <v/>
      </c>
      <c r="M44">
        <f>SUM(M29:M42)</f>
        <v/>
      </c>
      <c r="N44">
        <f>SUM(N29:N42)</f>
        <v/>
      </c>
      <c r="O44">
        <f>SUM(O29:O42)</f>
        <v/>
      </c>
      <c r="P44">
        <f>SUM(P29:P42)</f>
        <v/>
      </c>
      <c r="Q44">
        <f>SUM(Q29:Q42)</f>
        <v/>
      </c>
      <c r="R44">
        <f>SUM(R29:R42)</f>
        <v/>
      </c>
      <c r="S44">
        <f>SUM(S29:S42)</f>
        <v/>
      </c>
      <c r="T44">
        <f>SUM(T29:T42)</f>
        <v/>
      </c>
      <c r="U44">
        <f>SUM(U29:U42)</f>
        <v/>
      </c>
      <c r="W44" s="52" t="n"/>
      <c r="X44" s="52" t="n"/>
      <c r="Y44" s="52" t="n"/>
    </row>
    <row r="45">
      <c r="W45" s="52" t="n"/>
      <c r="X45" s="52" t="n"/>
      <c r="Y45" s="52" t="n"/>
    </row>
    <row r="46">
      <c r="B46" t="inlineStr">
        <is>
          <t>WEEKEND COMPLETED &amp; PAID JOBS</t>
        </is>
      </c>
      <c r="W46" s="52" t="n"/>
      <c r="X46" s="52" t="n"/>
      <c r="Y46" s="52" t="n"/>
    </row>
    <row r="47">
      <c r="W47" s="52" t="n"/>
      <c r="X47" s="52" t="n"/>
      <c r="Y47" s="52" t="n"/>
    </row>
    <row r="48">
      <c r="W48" s="52" t="n"/>
      <c r="X48" s="52" t="n"/>
      <c r="Y48" s="52" t="n"/>
    </row>
    <row r="49">
      <c r="W49" s="52" t="n"/>
      <c r="X49" s="52" t="n"/>
      <c r="Y49" s="52" t="n"/>
    </row>
    <row r="50">
      <c r="W50" s="52" t="n"/>
      <c r="X50" s="52" t="n"/>
      <c r="Y50" s="52" t="n"/>
    </row>
    <row r="51">
      <c r="W51" s="52" t="n"/>
      <c r="X51" s="52" t="n"/>
      <c r="Y51" s="52" t="n"/>
    </row>
    <row r="52">
      <c r="W52" s="52" t="n"/>
      <c r="X52" s="52" t="n"/>
      <c r="Y52" s="52" t="n"/>
    </row>
    <row r="53">
      <c r="F53" s="56">
        <f>SUM(F47:F52)</f>
        <v/>
      </c>
      <c r="G53" s="56">
        <f>SUM(G47:G52)</f>
        <v/>
      </c>
      <c r="H53" s="56">
        <f>SUM(H47:H52)</f>
        <v/>
      </c>
      <c r="I53" s="56">
        <f>SUM(I47:I52)</f>
        <v/>
      </c>
      <c r="W53" s="52" t="n"/>
      <c r="X53" s="52" t="n"/>
      <c r="Y53" s="52" t="n"/>
    </row>
    <row r="54">
      <c r="W54" s="52" t="n"/>
      <c r="X54" s="52" t="n"/>
      <c r="Y54" s="52" t="n"/>
    </row>
    <row r="55">
      <c r="B55" t="inlineStr">
        <is>
          <t>AFTERHOURS COMPLETED &amp; PAID JOBS</t>
        </is>
      </c>
      <c r="W55" s="52" t="n"/>
      <c r="X55" s="52" t="n"/>
      <c r="Y55" s="52" t="n"/>
    </row>
    <row r="56">
      <c r="W56" s="52" t="n"/>
      <c r="X56" s="52" t="n"/>
      <c r="Y56" s="52" t="n"/>
    </row>
    <row r="57">
      <c r="W57" s="52" t="n"/>
      <c r="X57" s="52" t="n"/>
      <c r="Y57" s="52" t="n"/>
    </row>
    <row r="58">
      <c r="W58" s="52" t="n"/>
      <c r="X58" s="52" t="n"/>
      <c r="Y58" s="52" t="n"/>
    </row>
    <row r="59">
      <c r="W59" s="52" t="n"/>
      <c r="X59" s="52" t="n"/>
      <c r="Y59" s="52" t="n"/>
    </row>
    <row r="60">
      <c r="W60" s="52" t="n"/>
      <c r="X60" s="52" t="n"/>
      <c r="Y60" s="52" t="n"/>
    </row>
    <row r="61">
      <c r="W61" s="52" t="n"/>
      <c r="X61" s="52" t="n"/>
      <c r="Y61" s="52" t="n"/>
    </row>
    <row r="62">
      <c r="F62" s="56">
        <f>SUM(F56:F61)</f>
        <v/>
      </c>
      <c r="G62" s="56">
        <f>SUM(G56:G61)</f>
        <v/>
      </c>
      <c r="H62" s="56">
        <f>SUM(H56:H61)</f>
        <v/>
      </c>
      <c r="I62" s="56">
        <f>SUM(I56:I61)</f>
        <v/>
      </c>
      <c r="W62" s="52" t="n"/>
      <c r="X62" s="52" t="n"/>
      <c r="Y62" s="52" t="n"/>
    </row>
    <row r="63">
      <c r="W63" s="52" t="n"/>
      <c r="X63" s="52" t="n"/>
      <c r="Y63" s="52" t="n"/>
    </row>
    <row r="64">
      <c r="A64" s="57" t="n"/>
      <c r="B64" s="57" t="inlineStr">
        <is>
          <t>PREVIOUS JOBS COMPLETED &amp; PAID (COMMISSION) - Modoras Team Please do ADD to THIS SECTION or AMEND/TOUCH</t>
        </is>
      </c>
      <c r="C64" s="57" t="n"/>
      <c r="D64" s="57" t="n"/>
      <c r="E64" s="57" t="n"/>
      <c r="F64" s="57" t="n"/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8" t="n"/>
      <c r="X64" s="58" t="n"/>
      <c r="Y64" s="52" t="n"/>
    </row>
    <row r="65">
      <c r="A65" s="57" t="n"/>
      <c r="B65" s="57" t="n">
        <v>1</v>
      </c>
      <c r="C65" s="57" t="n"/>
      <c r="D65" s="57" t="n"/>
      <c r="E65" s="57" t="n"/>
      <c r="F65" s="57" t="n"/>
      <c r="G65" s="57" t="n"/>
      <c r="H65" s="57" t="n"/>
      <c r="I65" s="57" t="n"/>
      <c r="J65" s="57" t="n"/>
      <c r="K65" s="57" t="n"/>
      <c r="L65" s="57" t="n"/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8" t="n"/>
      <c r="X65" s="58" t="n"/>
      <c r="Y65" s="52" t="n"/>
    </row>
    <row r="66">
      <c r="A66" s="57" t="n"/>
      <c r="B66" s="57" t="n">
        <v>2</v>
      </c>
      <c r="C66" s="57" t="n"/>
      <c r="D66" s="57" t="n"/>
      <c r="E66" s="57" t="n"/>
      <c r="F66" s="57" t="n"/>
      <c r="G66" s="57" t="n"/>
      <c r="H66" s="57" t="n"/>
      <c r="I66" s="57" t="n"/>
      <c r="J66" s="57" t="n"/>
      <c r="K66" s="57" t="n"/>
      <c r="L66" s="57" t="n"/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8" t="n"/>
      <c r="X66" s="58" t="n"/>
      <c r="Y66" s="52" t="n"/>
    </row>
    <row r="67">
      <c r="A67" s="57" t="n"/>
      <c r="B67" s="57" t="n">
        <v>3</v>
      </c>
      <c r="C67" s="57" t="n"/>
      <c r="D67" s="57" t="n"/>
      <c r="E67" s="57" t="n"/>
      <c r="F67" s="57" t="n"/>
      <c r="G67" s="57" t="n"/>
      <c r="H67" s="57" t="n"/>
      <c r="I67" s="57" t="n"/>
      <c r="J67" s="57" t="n"/>
      <c r="K67" s="57" t="n"/>
      <c r="L67" s="57" t="n"/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8" t="n"/>
      <c r="X67" s="58" t="n"/>
      <c r="Y67" s="52" t="n"/>
    </row>
    <row r="68">
      <c r="A68" s="57" t="n"/>
      <c r="B68" s="57" t="n">
        <v>4</v>
      </c>
      <c r="C68" s="57" t="n"/>
      <c r="D68" s="57" t="n"/>
      <c r="E68" s="57" t="n"/>
      <c r="F68" s="57" t="n"/>
      <c r="G68" s="57" t="n"/>
      <c r="H68" s="57" t="n"/>
      <c r="I68" s="57" t="n"/>
      <c r="J68" s="57" t="n"/>
      <c r="K68" s="57" t="n"/>
      <c r="L68" s="57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8" t="n"/>
      <c r="X68" s="58" t="n"/>
      <c r="Y68" s="52" t="n"/>
    </row>
    <row r="69">
      <c r="A69" s="57" t="n"/>
      <c r="B69" s="57" t="n">
        <v>5</v>
      </c>
      <c r="C69" s="57" t="n"/>
      <c r="D69" s="57" t="n"/>
      <c r="E69" s="57" t="n"/>
      <c r="F69" s="57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8" t="n"/>
      <c r="X69" s="58" t="n"/>
      <c r="Y69" s="52" t="n"/>
    </row>
    <row r="70">
      <c r="A70" s="57" t="n"/>
      <c r="B70" s="57" t="n">
        <v>6</v>
      </c>
      <c r="C70" s="57" t="n"/>
      <c r="D70" s="57" t="n"/>
      <c r="E70" s="57" t="n"/>
      <c r="F70" s="57" t="n"/>
      <c r="G70" s="57" t="n"/>
      <c r="H70" s="57" t="n"/>
      <c r="I70" s="57" t="n"/>
      <c r="J70" s="57" t="n"/>
      <c r="K70" s="57" t="n"/>
      <c r="L70" s="57" t="n"/>
      <c r="M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8" t="n"/>
      <c r="X70" s="58" t="n"/>
      <c r="Y70" s="52" t="n"/>
    </row>
    <row r="71">
      <c r="A71" s="57" t="n"/>
      <c r="B71" s="57" t="n">
        <v>7</v>
      </c>
      <c r="C71" s="57" t="n"/>
      <c r="D71" s="57" t="n"/>
      <c r="E71" s="57" t="n"/>
      <c r="F71" s="57" t="n"/>
      <c r="G71" s="57" t="n"/>
      <c r="H71" s="57" t="n"/>
      <c r="I71" s="57" t="n"/>
      <c r="J71" s="57" t="n"/>
      <c r="K71" s="57" t="n"/>
      <c r="L71" s="57" t="n"/>
      <c r="M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8" t="n"/>
      <c r="X71" s="58" t="n"/>
      <c r="Y71" s="52" t="n"/>
    </row>
    <row r="72">
      <c r="A72" s="57" t="n"/>
      <c r="B72" s="57" t="n">
        <v>8</v>
      </c>
      <c r="C72" s="57" t="n"/>
      <c r="D72" s="57" t="n"/>
      <c r="E72" s="57" t="n"/>
      <c r="F72" s="57" t="n"/>
      <c r="G72" s="57" t="n"/>
      <c r="H72" s="57" t="n"/>
      <c r="I72" s="57" t="n"/>
      <c r="J72" s="57" t="n"/>
      <c r="K72" s="57" t="n"/>
      <c r="L72" s="57" t="n"/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8" t="n"/>
      <c r="X72" s="58" t="n"/>
      <c r="Y72" s="52" t="n"/>
    </row>
    <row r="73">
      <c r="W73" s="52" t="n"/>
      <c r="X73" s="52" t="n"/>
      <c r="Y73" s="52" t="n"/>
    </row>
    <row r="74">
      <c r="W74" s="52" t="n"/>
      <c r="X74" s="52" t="n"/>
      <c r="Y74" s="52" t="n"/>
    </row>
    <row r="75">
      <c r="W75" s="52" t="n"/>
      <c r="X75" s="52" t="n"/>
      <c r="Y75" s="52" t="n"/>
    </row>
    <row r="76">
      <c r="W76" s="52" t="n"/>
      <c r="X76" s="52" t="n"/>
      <c r="Y76" s="52" t="n"/>
    </row>
    <row r="77">
      <c r="W77" s="52" t="n"/>
      <c r="X77" s="52" t="n"/>
      <c r="Y77" s="52" t="n"/>
    </row>
    <row r="78">
      <c r="F78" s="56">
        <f>SUM(F65:F77)</f>
        <v/>
      </c>
      <c r="G78" s="56">
        <f>SUM(G65:G77)</f>
        <v/>
      </c>
      <c r="H78" s="56">
        <f>SUM(H65:H77)</f>
        <v/>
      </c>
      <c r="I78" s="56">
        <f>SUM(I65:I77)</f>
        <v/>
      </c>
      <c r="W78" s="52" t="n"/>
      <c r="X78" s="52" t="n"/>
      <c r="Y78" s="52" t="n"/>
    </row>
    <row r="79">
      <c r="W79" s="52" t="n"/>
      <c r="X79" s="52" t="n"/>
      <c r="Y79" s="52" t="n"/>
    </row>
    <row r="80">
      <c r="B80" s="59" t="inlineStr">
        <is>
          <t>CURRENT JOBS COMPLETED (AWAITING PAYMENT)</t>
        </is>
      </c>
      <c r="W80" s="52" t="n"/>
      <c r="X80" s="52" t="n"/>
      <c r="Y80" s="52" t="n"/>
    </row>
    <row r="81">
      <c r="B81" s="59" t="n">
        <v>1</v>
      </c>
      <c r="C81" s="59" t="inlineStr">
        <is>
          <t>27/11/2025</t>
        </is>
      </c>
      <c r="D81" s="59" t="n">
        <v>100344</v>
      </c>
      <c r="E81" s="59" t="inlineStr">
        <is>
          <t>Carnegie</t>
        </is>
      </c>
      <c r="F81" s="60" t="n">
        <v>4014.9</v>
      </c>
      <c r="G81" s="60" t="n">
        <v>802.98</v>
      </c>
      <c r="I81" s="60">
        <f>F81-G81-H81</f>
        <v/>
      </c>
      <c r="J81" s="59" t="inlineStr">
        <is>
          <t>Credit Card</t>
        </is>
      </c>
      <c r="K81" s="61">
        <f>IF(OR(L81=0, M81=0, N81=0, O81=0, P81=0, Q81=0, R81=0, S81=0, T81=0), "N","Y")</f>
        <v/>
      </c>
      <c r="L81" s="59" t="n">
        <v>0</v>
      </c>
      <c r="M81" s="59" t="n">
        <v>0</v>
      </c>
      <c r="N81" s="59" t="n">
        <v>0</v>
      </c>
      <c r="O81" s="59" t="n">
        <v>0</v>
      </c>
      <c r="P81" s="59" t="n">
        <v>0</v>
      </c>
      <c r="Q81" s="59" t="n">
        <v>0</v>
      </c>
      <c r="R81" s="59" t="n">
        <v>0</v>
      </c>
      <c r="S81" s="59" t="n">
        <v>0</v>
      </c>
      <c r="T81" s="59" t="n">
        <v>0</v>
      </c>
      <c r="U81" s="59" t="n">
        <v>0</v>
      </c>
      <c r="W81" s="62">
        <f>181.50</f>
        <v/>
      </c>
      <c r="X81" s="52" t="n"/>
      <c r="Y81" s="52" t="n"/>
      <c r="Z81" s="55">
        <f>ROUND(F81*1.1,2)</f>
        <v/>
      </c>
      <c r="AA81" s="55">
        <f>ROUND(Z81 - W81 - X81 - Y81,2)</f>
        <v/>
      </c>
    </row>
    <row r="82">
      <c r="B82" s="59" t="n">
        <v>2</v>
      </c>
      <c r="C82" s="59" t="inlineStr">
        <is>
          <t>28/11/2025</t>
        </is>
      </c>
      <c r="D82" s="59" t="n">
        <v>100361</v>
      </c>
      <c r="E82" s="59" t="inlineStr">
        <is>
          <t>Pascoe Vale South</t>
        </is>
      </c>
      <c r="F82" s="60" t="n">
        <v>4728.33</v>
      </c>
      <c r="G82" s="60" t="n">
        <v>945.6660000000001</v>
      </c>
      <c r="I82" s="60">
        <f>F82-G82-H82</f>
        <v/>
      </c>
      <c r="J82" s="59" t="inlineStr">
        <is>
          <t>Credit Card, EFT/Bank Transfer</t>
        </is>
      </c>
      <c r="K82" s="61">
        <f>IF(OR(L82=0, M82=0, N82=0, O82=0, P82=0, Q82=0, R82=0, S82=0, T82=0), "N","Y")</f>
        <v/>
      </c>
      <c r="L82" s="59" t="n">
        <v>0</v>
      </c>
      <c r="M82" s="59" t="n">
        <v>0</v>
      </c>
      <c r="N82" s="59" t="n">
        <v>0</v>
      </c>
      <c r="O82" s="59" t="n">
        <v>0</v>
      </c>
      <c r="P82" s="59" t="n">
        <v>0</v>
      </c>
      <c r="Q82" s="59" t="n">
        <v>0</v>
      </c>
      <c r="R82" s="59" t="n">
        <v>0</v>
      </c>
      <c r="S82" s="59" t="n">
        <v>0</v>
      </c>
      <c r="T82" s="59" t="n">
        <v>0</v>
      </c>
      <c r="U82" s="59" t="n">
        <v>0</v>
      </c>
      <c r="W82" s="62">
        <f>4701.16+500.00</f>
        <v/>
      </c>
      <c r="X82" s="52" t="n"/>
      <c r="Y82" s="52" t="n"/>
      <c r="Z82" s="55">
        <f>ROUND(F82*1.1,2)</f>
        <v/>
      </c>
      <c r="AA82" s="55">
        <f>ROUND(Z82 - W82 - X82 - Y82,2)</f>
        <v/>
      </c>
    </row>
    <row r="83">
      <c r="B83" s="59" t="n">
        <v>3</v>
      </c>
      <c r="C83" s="59" t="inlineStr">
        <is>
          <t>28/11/2025</t>
        </is>
      </c>
      <c r="D83" s="59" t="n">
        <v>100370</v>
      </c>
      <c r="E83" s="59" t="inlineStr">
        <is>
          <t>Northcote</t>
        </is>
      </c>
      <c r="F83" s="60" t="n">
        <v>136.36</v>
      </c>
      <c r="G83" s="60" t="n">
        <v>27.27200000000001</v>
      </c>
      <c r="I83" s="60">
        <f>F83-G83-H83</f>
        <v/>
      </c>
      <c r="J83" s="59" t="inlineStr">
        <is>
          <t>Credit Card, Refund (credit card)</t>
        </is>
      </c>
      <c r="K83" s="61">
        <f>IF(OR(L83=0, M83=0, N83=0, O83=0, P83=0, Q83=0, R83=0, S83=0, T83=0), "N","Y")</f>
        <v/>
      </c>
      <c r="L83" s="59" t="n">
        <v>0</v>
      </c>
      <c r="M83" s="59" t="n">
        <v>0</v>
      </c>
      <c r="N83" s="59" t="n">
        <v>0</v>
      </c>
      <c r="O83" s="59" t="n">
        <v>0</v>
      </c>
      <c r="P83" s="59" t="n">
        <v>0</v>
      </c>
      <c r="Q83" s="59" t="n">
        <v>0</v>
      </c>
      <c r="R83" s="59" t="n">
        <v>0</v>
      </c>
      <c r="S83" s="59" t="n">
        <v>0</v>
      </c>
      <c r="T83" s="59" t="n">
        <v>0</v>
      </c>
      <c r="U83" s="59" t="n">
        <v>0</v>
      </c>
      <c r="W83" s="62">
        <f>100.00+913.40</f>
        <v/>
      </c>
      <c r="X83" s="52" t="n"/>
      <c r="Y83" s="52" t="n"/>
      <c r="Z83" s="55">
        <f>ROUND(F83*1.1,2)</f>
        <v/>
      </c>
      <c r="AA83" s="55">
        <f>ROUND(Z83 - W83 - X83 - Y83,2)</f>
        <v/>
      </c>
    </row>
    <row r="84">
      <c r="W84" s="52" t="n"/>
      <c r="X84" s="52" t="n"/>
      <c r="Y84" s="52" t="n"/>
    </row>
    <row r="85">
      <c r="W85" s="52" t="n"/>
      <c r="X85" s="52" t="n"/>
      <c r="Y85" s="52" t="n"/>
    </row>
    <row r="86">
      <c r="W86" s="52" t="n"/>
      <c r="X86" s="52" t="n"/>
      <c r="Y86" s="52" t="n"/>
    </row>
    <row r="87">
      <c r="W87" s="52" t="n"/>
      <c r="X87" s="52" t="n"/>
      <c r="Y87" s="52" t="n"/>
    </row>
    <row r="88">
      <c r="W88" s="52" t="n"/>
      <c r="X88" s="52" t="n"/>
      <c r="Y88" s="52" t="n"/>
    </row>
    <row r="89">
      <c r="F89" s="56">
        <f>SUM(F81:F88)</f>
        <v/>
      </c>
      <c r="G89" s="56">
        <f>SUM(G81:G88)</f>
        <v/>
      </c>
      <c r="H89" s="56">
        <f>SUM(H81:H88)</f>
        <v/>
      </c>
      <c r="I89" s="56">
        <f>SUM(I81:I88)</f>
        <v/>
      </c>
      <c r="W89" s="52" t="n"/>
      <c r="X89" s="52" t="n"/>
      <c r="Y89" s="52" t="n"/>
    </row>
    <row r="90">
      <c r="W90" s="52" t="n"/>
      <c r="X90" s="52" t="n"/>
      <c r="Y90" s="52" t="n"/>
    </row>
    <row r="91">
      <c r="B91" s="59" t="inlineStr">
        <is>
          <t>WEEKEND CURRENT JOBS COMPLETED (AWAITING PAYMENT)</t>
        </is>
      </c>
      <c r="W91" s="52" t="n"/>
      <c r="X91" s="52" t="n"/>
      <c r="Y91" s="52" t="n"/>
    </row>
    <row r="92">
      <c r="W92" s="52" t="n"/>
      <c r="X92" s="52" t="n"/>
      <c r="Y92" s="52" t="n"/>
    </row>
    <row r="93">
      <c r="W93" s="52" t="n"/>
      <c r="X93" s="52" t="n"/>
      <c r="Y93" s="52" t="n"/>
    </row>
    <row r="94">
      <c r="W94" s="52" t="n"/>
      <c r="X94" s="52" t="n"/>
      <c r="Y94" s="52" t="n"/>
    </row>
    <row r="95">
      <c r="W95" s="52" t="n"/>
      <c r="X95" s="52" t="n"/>
      <c r="Y95" s="52" t="n"/>
    </row>
    <row r="96">
      <c r="W96" s="52" t="n"/>
      <c r="X96" s="52" t="n"/>
      <c r="Y96" s="52" t="n"/>
    </row>
    <row r="97">
      <c r="W97" s="52" t="n"/>
      <c r="X97" s="52" t="n"/>
      <c r="Y97" s="52" t="n"/>
    </row>
    <row r="98">
      <c r="F98" s="56">
        <f>SUM(F92:F97)</f>
        <v/>
      </c>
      <c r="G98" s="56">
        <f>SUM(G92:G97)</f>
        <v/>
      </c>
      <c r="H98" s="56">
        <f>SUM(H92:H97)</f>
        <v/>
      </c>
      <c r="I98" s="56">
        <f>SUM(I92:I97)</f>
        <v/>
      </c>
      <c r="W98" s="52" t="n"/>
      <c r="X98" s="52" t="n"/>
      <c r="Y98" s="52" t="n"/>
    </row>
    <row r="99">
      <c r="W99" s="52" t="n"/>
      <c r="X99" s="52" t="n"/>
      <c r="Y99" s="52" t="n"/>
    </row>
    <row r="100">
      <c r="B100" t="inlineStr">
        <is>
          <t>AFTERHOURS CURRENT JOBS COMPLETED (AWAITING PAYMENT)</t>
        </is>
      </c>
      <c r="W100" s="52" t="n"/>
      <c r="X100" s="52" t="n"/>
      <c r="Y100" s="52" t="n"/>
    </row>
    <row r="101">
      <c r="W101" s="52" t="n"/>
      <c r="X101" s="52" t="n"/>
      <c r="Y101" s="52" t="n"/>
    </row>
    <row r="102">
      <c r="W102" s="52" t="n"/>
      <c r="X102" s="52" t="n"/>
      <c r="Y102" s="52" t="n"/>
    </row>
    <row r="103">
      <c r="W103" s="52" t="n"/>
      <c r="X103" s="52" t="n"/>
      <c r="Y103" s="52" t="n"/>
    </row>
    <row r="104">
      <c r="W104" s="52" t="n"/>
      <c r="X104" s="52" t="n"/>
      <c r="Y104" s="52" t="n"/>
    </row>
    <row r="105">
      <c r="W105" s="52" t="n"/>
      <c r="X105" s="52" t="n"/>
      <c r="Y105" s="52" t="n"/>
    </row>
    <row r="106">
      <c r="W106" s="52" t="n"/>
      <c r="X106" s="52" t="n"/>
      <c r="Y106" s="52" t="n"/>
    </row>
    <row r="107">
      <c r="F107" s="56">
        <f>SUM(F101:F106)</f>
        <v/>
      </c>
      <c r="G107" s="56">
        <f>SUM(G101:G106)</f>
        <v/>
      </c>
      <c r="H107" s="56">
        <f>SUM(H101:H106)</f>
        <v/>
      </c>
      <c r="I107" s="56">
        <f>SUM(I101:I106)</f>
        <v/>
      </c>
      <c r="W107" s="52" t="n"/>
      <c r="X107" s="52" t="n"/>
      <c r="Y107" s="52" t="n"/>
    </row>
    <row r="108">
      <c r="W108" s="52" t="n"/>
      <c r="X108" s="52" t="n"/>
      <c r="Y108" s="52" t="n"/>
    </row>
    <row r="109">
      <c r="B109" s="59" t="inlineStr">
        <is>
          <t>CURRENT WORK ORDERS (AWAITING PAYMENT)</t>
        </is>
      </c>
      <c r="W109" s="52" t="n"/>
      <c r="X109" s="52" t="n"/>
      <c r="Y109" s="52" t="n"/>
    </row>
    <row r="110">
      <c r="B110" s="59" t="n">
        <v>1</v>
      </c>
      <c r="C110" s="59" t="inlineStr">
        <is>
          <t>24/11/2025</t>
        </is>
      </c>
      <c r="D110" s="59" t="n">
        <v>100227</v>
      </c>
      <c r="E110" s="59" t="inlineStr">
        <is>
          <t>Preston</t>
        </is>
      </c>
      <c r="F110" s="60" t="n">
        <v>1217.66</v>
      </c>
      <c r="G110" s="60" t="n">
        <v>243.532</v>
      </c>
      <c r="I110" s="60">
        <f>F110-G110-H110</f>
        <v/>
      </c>
      <c r="J110" s="59" t="inlineStr">
        <is>
          <t>Credit Card</t>
        </is>
      </c>
      <c r="K110" s="61">
        <f>IF(OR(L110=0, M110=0, N110=0, O110=0, P110=0, Q110=0, R110=0, S110=0, T110=0), "N","Y")</f>
        <v/>
      </c>
      <c r="L110" s="59" t="n">
        <v>0</v>
      </c>
      <c r="M110" s="59" t="n">
        <v>0</v>
      </c>
      <c r="N110" s="59" t="n">
        <v>0</v>
      </c>
      <c r="O110" s="59" t="n">
        <v>0</v>
      </c>
      <c r="P110" s="59" t="n">
        <v>0</v>
      </c>
      <c r="Q110" s="59" t="n">
        <v>0</v>
      </c>
      <c r="R110" s="59" t="n">
        <v>0</v>
      </c>
      <c r="S110" s="59" t="n">
        <v>0</v>
      </c>
      <c r="T110" s="59" t="n">
        <v>0</v>
      </c>
      <c r="U110" s="59" t="n">
        <v>0</v>
      </c>
      <c r="W110" s="62">
        <f>1206.43+133.00+203.50</f>
        <v/>
      </c>
      <c r="X110" s="52" t="n"/>
      <c r="Y110" s="52" t="n"/>
      <c r="Z110" s="55">
        <f>ROUND(F110*1.1,2)</f>
        <v/>
      </c>
      <c r="AA110" s="55">
        <f>ROUND(Z110 - W110 - X110 - Y110,2)</f>
        <v/>
      </c>
    </row>
    <row r="111">
      <c r="B111" s="59" t="n">
        <v>2</v>
      </c>
      <c r="C111" s="59" t="inlineStr">
        <is>
          <t>26/11/2025</t>
        </is>
      </c>
      <c r="D111" s="59" t="n">
        <v>100312</v>
      </c>
      <c r="E111" s="59" t="inlineStr">
        <is>
          <t>Watsonia North</t>
        </is>
      </c>
      <c r="F111" s="60" t="n">
        <v>7290.98</v>
      </c>
      <c r="G111" s="60" t="n">
        <v>1458.196</v>
      </c>
      <c r="I111" s="60">
        <f>F111-G111-H111</f>
        <v/>
      </c>
      <c r="J111" s="59" t="inlineStr">
        <is>
          <t>Credit Card</t>
        </is>
      </c>
      <c r="K111" s="61">
        <f>IF(OR(L111=0, M111=0, N111=0, O111=0, P111=0, Q111=0, R111=0, S111=0, T111=0), "N","Y")</f>
        <v/>
      </c>
      <c r="L111" s="59" t="n">
        <v>0</v>
      </c>
      <c r="M111" s="59" t="n">
        <v>0</v>
      </c>
      <c r="N111" s="59" t="n">
        <v>0</v>
      </c>
      <c r="O111" s="59" t="n">
        <v>0</v>
      </c>
      <c r="P111" s="59" t="n">
        <v>0</v>
      </c>
      <c r="Q111" s="59" t="n">
        <v>0</v>
      </c>
      <c r="R111" s="59" t="n">
        <v>0</v>
      </c>
      <c r="S111" s="59" t="n">
        <v>0</v>
      </c>
      <c r="T111" s="59" t="n">
        <v>0</v>
      </c>
      <c r="U111" s="59" t="n">
        <v>0</v>
      </c>
      <c r="W111" s="62">
        <f>148.00+7072.08+800.00</f>
        <v/>
      </c>
      <c r="X111" s="52" t="n"/>
      <c r="Y111" s="52" t="n"/>
      <c r="Z111" s="55">
        <f>ROUND(F111*1.1,2)</f>
        <v/>
      </c>
      <c r="AA111" s="55">
        <f>ROUND(Z111 - W111 - X111 - Y111,2)</f>
        <v/>
      </c>
    </row>
    <row r="112">
      <c r="B112" s="59" t="n">
        <v>3</v>
      </c>
      <c r="C112" s="59" t="inlineStr">
        <is>
          <t>28/11/2025</t>
        </is>
      </c>
      <c r="D112" s="59" t="n">
        <v>100311</v>
      </c>
      <c r="E112" s="59" t="inlineStr">
        <is>
          <t>Fitzroy North</t>
        </is>
      </c>
      <c r="F112" s="60" t="n">
        <v>2796.98</v>
      </c>
      <c r="G112" s="60" t="n">
        <v>559.3960000000001</v>
      </c>
      <c r="I112" s="60">
        <f>F112-G112-H112</f>
        <v/>
      </c>
      <c r="J112" s="59" t="inlineStr">
        <is>
          <t>Credit Card</t>
        </is>
      </c>
      <c r="K112" s="61">
        <f>IF(OR(L112=0, M112=0, N112=0, O112=0, P112=0, Q112=0, R112=0, S112=0, T112=0), "N","Y")</f>
        <v/>
      </c>
      <c r="L112" s="59" t="n">
        <v>0</v>
      </c>
      <c r="M112" s="59" t="n">
        <v>0</v>
      </c>
      <c r="N112" s="59" t="n">
        <v>0</v>
      </c>
      <c r="O112" s="59" t="n">
        <v>0</v>
      </c>
      <c r="P112" s="59" t="n">
        <v>0</v>
      </c>
      <c r="Q112" s="59" t="n">
        <v>0</v>
      </c>
      <c r="R112" s="59" t="n">
        <v>0</v>
      </c>
      <c r="S112" s="59" t="n">
        <v>0</v>
      </c>
      <c r="T112" s="59" t="n">
        <v>0</v>
      </c>
      <c r="U112" s="59" t="n">
        <v>0</v>
      </c>
      <c r="W112" s="62">
        <f>300.00</f>
        <v/>
      </c>
      <c r="X112" s="52" t="n"/>
      <c r="Y112" s="52" t="n"/>
      <c r="Z112" s="55">
        <f>ROUND(F112*1.1,2)</f>
        <v/>
      </c>
      <c r="AA112" s="55">
        <f>ROUND(Z112 - W112 - X112 - Y112,2)</f>
        <v/>
      </c>
    </row>
    <row r="113">
      <c r="W113" s="52" t="n"/>
      <c r="X113" s="52" t="n"/>
      <c r="Y113" s="52" t="n"/>
    </row>
    <row r="114">
      <c r="W114" s="52" t="n"/>
      <c r="X114" s="52" t="n"/>
      <c r="Y114" s="52" t="n"/>
    </row>
    <row r="115">
      <c r="W115" s="52" t="n"/>
      <c r="X115" s="52" t="n"/>
      <c r="Y115" s="52" t="n"/>
    </row>
    <row r="116">
      <c r="W116" s="52" t="n"/>
      <c r="X116" s="52" t="n"/>
      <c r="Y116" s="52" t="n"/>
    </row>
    <row r="117">
      <c r="W117" s="52" t="n"/>
      <c r="X117" s="52" t="n"/>
      <c r="Y117" s="52" t="n"/>
    </row>
    <row r="118">
      <c r="F118" s="56">
        <f>SUM(F110:F117)</f>
        <v/>
      </c>
      <c r="G118" s="56">
        <f>SUM(G110:G117)</f>
        <v/>
      </c>
      <c r="H118" s="56">
        <f>SUM(H110:H117)</f>
        <v/>
      </c>
      <c r="I118" s="56">
        <f>SUM(I110:I117)</f>
        <v/>
      </c>
      <c r="W118" s="52" t="n"/>
      <c r="X118" s="52" t="n"/>
      <c r="Y118" s="52" t="n"/>
    </row>
    <row r="119">
      <c r="W119" s="52" t="n"/>
      <c r="X119" s="52" t="n"/>
      <c r="Y119" s="52" t="n"/>
    </row>
    <row r="120">
      <c r="B120" s="59" t="inlineStr">
        <is>
          <t>WEEKEND WORK ORDERS (AWAITING PAYMENT)</t>
        </is>
      </c>
      <c r="W120" s="52" t="n"/>
      <c r="X120" s="52" t="n"/>
      <c r="Y120" s="52" t="n"/>
    </row>
    <row r="121">
      <c r="W121" s="52" t="n"/>
      <c r="X121" s="52" t="n"/>
      <c r="Y121" s="52" t="n"/>
    </row>
    <row r="122">
      <c r="W122" s="52" t="n"/>
      <c r="X122" s="52" t="n"/>
      <c r="Y122" s="52" t="n"/>
    </row>
    <row r="123">
      <c r="W123" s="52" t="n"/>
      <c r="X123" s="52" t="n"/>
      <c r="Y123" s="52" t="n"/>
    </row>
    <row r="124">
      <c r="W124" s="52" t="n"/>
      <c r="X124" s="52" t="n"/>
      <c r="Y124" s="52" t="n"/>
    </row>
    <row r="125">
      <c r="W125" s="52" t="n"/>
      <c r="X125" s="52" t="n"/>
      <c r="Y125" s="52" t="n"/>
    </row>
    <row r="126">
      <c r="W126" s="52" t="n"/>
      <c r="X126" s="52" t="n"/>
      <c r="Y126" s="52" t="n"/>
    </row>
    <row r="127">
      <c r="F127" s="56">
        <f>SUM(F121:F126)</f>
        <v/>
      </c>
      <c r="G127" s="56">
        <f>SUM(G121:G126)</f>
        <v/>
      </c>
      <c r="H127" s="56">
        <f>SUM(H121:H126)</f>
        <v/>
      </c>
      <c r="I127" s="56">
        <f>SUM(I121:I126)</f>
        <v/>
      </c>
      <c r="W127" s="52" t="n"/>
      <c r="X127" s="52" t="n"/>
      <c r="Y127" s="52" t="n"/>
    </row>
    <row r="128">
      <c r="W128" s="52" t="n"/>
      <c r="X128" s="52" t="n"/>
      <c r="Y128" s="52" t="n"/>
    </row>
    <row r="129">
      <c r="B129" t="inlineStr">
        <is>
          <t>AFTERHOURS WORK ORDERS (AWAITING PAYMENT)</t>
        </is>
      </c>
      <c r="W129" s="52" t="n"/>
      <c r="X129" s="52" t="n"/>
      <c r="Y129" s="52" t="n"/>
    </row>
    <row r="130">
      <c r="W130" s="52" t="n"/>
      <c r="X130" s="52" t="n"/>
      <c r="Y130" s="52" t="n"/>
    </row>
    <row r="131">
      <c r="W131" s="52" t="n"/>
      <c r="X131" s="52" t="n"/>
      <c r="Y131" s="52" t="n"/>
    </row>
    <row r="132">
      <c r="W132" s="52" t="n"/>
      <c r="X132" s="52" t="n"/>
      <c r="Y132" s="52" t="n"/>
    </row>
    <row r="133">
      <c r="W133" s="52" t="n"/>
      <c r="X133" s="52" t="n"/>
      <c r="Y133" s="52" t="n"/>
    </row>
    <row r="134">
      <c r="W134" s="52" t="n"/>
      <c r="X134" s="52" t="n"/>
      <c r="Y134" s="52" t="n"/>
    </row>
    <row r="135">
      <c r="W135" s="52" t="n"/>
      <c r="X135" s="52" t="n"/>
      <c r="Y135" s="52" t="n"/>
    </row>
    <row r="136">
      <c r="F136" s="56">
        <f>SUM(F130:F135)</f>
        <v/>
      </c>
      <c r="G136" s="56">
        <f>SUM(G130:G135)</f>
        <v/>
      </c>
      <c r="H136" s="56">
        <f>SUM(H130:H135)</f>
        <v/>
      </c>
      <c r="I136" s="56">
        <f>SUM(I130:I135)</f>
        <v/>
      </c>
      <c r="W136" s="52" t="n"/>
      <c r="X136" s="52" t="n"/>
      <c r="Y136" s="52" t="n"/>
    </row>
    <row r="137">
      <c r="W137" s="52" t="n"/>
      <c r="X137" s="52" t="n"/>
      <c r="Y137" s="52" t="n"/>
    </row>
    <row r="138">
      <c r="B138" t="inlineStr">
        <is>
          <t>UNSUCCESSFUL JOBS</t>
        </is>
      </c>
      <c r="W138" s="52" t="n"/>
      <c r="X138" s="52" t="n"/>
      <c r="Y138" s="52" t="n"/>
    </row>
    <row r="139">
      <c r="W139" s="52" t="n"/>
      <c r="X139" s="52" t="n"/>
      <c r="Y139" s="52" t="n"/>
    </row>
    <row r="140">
      <c r="W140" s="52" t="n"/>
      <c r="X140" s="52" t="n"/>
      <c r="Y140" s="52" t="n"/>
    </row>
    <row r="141">
      <c r="W141" s="52" t="n"/>
      <c r="X141" s="52" t="n"/>
      <c r="Y141" s="52" t="n"/>
    </row>
    <row r="142">
      <c r="W142" s="52" t="n"/>
      <c r="X142" s="52" t="n"/>
      <c r="Y142" s="52" t="n"/>
    </row>
    <row r="143">
      <c r="W143" s="52" t="n"/>
      <c r="X143" s="52" t="n"/>
      <c r="Y143" s="52" t="n"/>
    </row>
    <row r="144">
      <c r="W144" s="52" t="n"/>
      <c r="X144" s="52" t="n"/>
      <c r="Y144" s="52" t="n"/>
    </row>
    <row r="145">
      <c r="F145" s="56">
        <f>SUM(F139:F144)</f>
        <v/>
      </c>
      <c r="G145" s="56">
        <f>SUM(G139:G144)</f>
        <v/>
      </c>
      <c r="H145" s="56">
        <f>SUM(H139:H144)</f>
        <v/>
      </c>
      <c r="I145" s="56">
        <f>SUM(I139:I144)</f>
        <v/>
      </c>
      <c r="W145" s="52" t="n"/>
      <c r="X145" s="52" t="n"/>
      <c r="Y145" s="52" t="n"/>
    </row>
    <row r="146">
      <c r="W146" s="52" t="n"/>
      <c r="X146" s="52" t="n"/>
      <c r="Y146" s="52" t="n"/>
    </row>
    <row r="147">
      <c r="B147" t="inlineStr">
        <is>
          <t>WEEKEND UNSUCCESSFUL JOBS</t>
        </is>
      </c>
      <c r="W147" s="52" t="n"/>
      <c r="X147" s="52" t="n"/>
      <c r="Y147" s="52" t="n"/>
    </row>
    <row r="148">
      <c r="W148" s="52" t="n"/>
      <c r="X148" s="52" t="n"/>
      <c r="Y148" s="52" t="n"/>
    </row>
    <row r="149">
      <c r="W149" s="52" t="n"/>
      <c r="X149" s="52" t="n"/>
      <c r="Y149" s="52" t="n"/>
    </row>
    <row r="150">
      <c r="W150" s="52" t="n"/>
      <c r="X150" s="52" t="n"/>
      <c r="Y150" s="52" t="n"/>
    </row>
    <row r="151">
      <c r="W151" s="52" t="n"/>
      <c r="X151" s="52" t="n"/>
      <c r="Y151" s="52" t="n"/>
    </row>
    <row r="152">
      <c r="W152" s="52" t="n"/>
      <c r="X152" s="52" t="n"/>
      <c r="Y152" s="52" t="n"/>
    </row>
    <row r="153">
      <c r="W153" s="52" t="n"/>
      <c r="X153" s="52" t="n"/>
      <c r="Y153" s="52" t="n"/>
    </row>
    <row r="154">
      <c r="F154" s="56">
        <f>SUM(F148:F153)</f>
        <v/>
      </c>
      <c r="G154" s="56">
        <f>SUM(G148:G153)</f>
        <v/>
      </c>
      <c r="H154" s="56">
        <f>SUM(H148:H153)</f>
        <v/>
      </c>
      <c r="I154" s="56">
        <f>SUM(I148:I153)</f>
        <v/>
      </c>
      <c r="W154" s="52" t="n"/>
      <c r="X154" s="52" t="n"/>
      <c r="Y154" s="52" t="n"/>
    </row>
    <row r="155">
      <c r="W155" s="52" t="n"/>
      <c r="X155" s="52" t="n"/>
      <c r="Y155" s="52" t="n"/>
    </row>
    <row r="156">
      <c r="B156" t="inlineStr">
        <is>
          <t>AFTERHOURS UNSUCCESSFUL JOBS</t>
        </is>
      </c>
      <c r="W156" s="52" t="n"/>
      <c r="X156" s="52" t="n"/>
      <c r="Y156" s="52" t="n"/>
    </row>
    <row r="157">
      <c r="W157" s="52" t="n"/>
      <c r="X157" s="52" t="n"/>
      <c r="Y157" s="52" t="n"/>
    </row>
    <row r="158">
      <c r="W158" s="52" t="n"/>
      <c r="X158" s="52" t="n"/>
      <c r="Y158" s="52" t="n"/>
    </row>
    <row r="159">
      <c r="W159" s="52" t="n"/>
      <c r="X159" s="52" t="n"/>
      <c r="Y159" s="52" t="n"/>
    </row>
    <row r="160">
      <c r="W160" s="52" t="n"/>
      <c r="X160" s="52" t="n"/>
      <c r="Y160" s="52" t="n"/>
    </row>
    <row r="161">
      <c r="W161" s="52" t="n"/>
      <c r="X161" s="52" t="n"/>
      <c r="Y161" s="52" t="n"/>
    </row>
    <row r="162">
      <c r="W162" s="52" t="n"/>
      <c r="X162" s="52" t="n"/>
      <c r="Y162" s="52" t="n"/>
    </row>
    <row r="163">
      <c r="F163" s="56">
        <f>SUM(F157:F162)</f>
        <v/>
      </c>
      <c r="G163" s="56">
        <f>SUM(G157:G162)</f>
        <v/>
      </c>
      <c r="H163" s="56">
        <f>SUM(H157:H162)</f>
        <v/>
      </c>
      <c r="I163" s="56">
        <f>SUM(I157:I162)</f>
        <v/>
      </c>
      <c r="W163" s="52" t="n"/>
      <c r="X163" s="52" t="n"/>
      <c r="Y163" s="52" t="n"/>
    </row>
    <row r="164">
      <c r="W164" s="52" t="n"/>
      <c r="X164" s="52" t="n"/>
      <c r="Y164" s="52" t="n"/>
    </row>
    <row r="165">
      <c r="B165" t="inlineStr">
        <is>
          <t>WEEK UNCATEGORISED</t>
        </is>
      </c>
      <c r="W165" s="52" t="n"/>
      <c r="X165" s="52" t="n"/>
      <c r="Y165" s="52" t="n"/>
    </row>
    <row r="166">
      <c r="W166" s="52" t="n"/>
      <c r="X166" s="52" t="n"/>
      <c r="Y166" s="52" t="n"/>
    </row>
    <row r="167">
      <c r="W167" s="52" t="n"/>
      <c r="X167" s="52" t="n"/>
      <c r="Y167" s="52" t="n"/>
    </row>
    <row r="168">
      <c r="W168" s="52" t="n"/>
      <c r="X168" s="52" t="n"/>
      <c r="Y168" s="52" t="n"/>
    </row>
    <row r="169">
      <c r="W169" s="52" t="n"/>
      <c r="X169" s="52" t="n"/>
      <c r="Y169" s="52" t="n"/>
    </row>
    <row r="170">
      <c r="W170" s="52" t="n"/>
      <c r="X170" s="52" t="n"/>
      <c r="Y170" s="52" t="n"/>
    </row>
    <row r="171">
      <c r="W171" s="52" t="n"/>
      <c r="X171" s="52" t="n"/>
      <c r="Y171" s="52" t="n"/>
    </row>
    <row r="172">
      <c r="F172" s="56">
        <f>SUM(F166:F171)</f>
        <v/>
      </c>
      <c r="G172" s="56">
        <f>SUM(G166:G171)</f>
        <v/>
      </c>
      <c r="H172" s="56">
        <f>SUM(H166:H171)</f>
        <v/>
      </c>
      <c r="I172" s="56">
        <f>SUM(I166:I171)</f>
        <v/>
      </c>
      <c r="W172" s="52" t="n"/>
      <c r="X172" s="52" t="n"/>
      <c r="Y172" s="52" t="n"/>
    </row>
    <row r="173">
      <c r="W173" s="52" t="n"/>
      <c r="X173" s="52" t="n"/>
      <c r="Y173" s="52" t="n"/>
    </row>
    <row r="174">
      <c r="B174" t="inlineStr">
        <is>
          <t>WEEKEND UNCATEGORISED</t>
        </is>
      </c>
      <c r="W174" s="52" t="n"/>
      <c r="X174" s="52" t="n"/>
      <c r="Y174" s="52" t="n"/>
    </row>
    <row r="175">
      <c r="W175" s="52" t="n"/>
      <c r="X175" s="52" t="n"/>
      <c r="Y175" s="52" t="n"/>
    </row>
    <row r="176">
      <c r="W176" s="52" t="n"/>
      <c r="X176" s="52" t="n"/>
      <c r="Y176" s="52" t="n"/>
    </row>
    <row r="177">
      <c r="W177" s="52" t="n"/>
      <c r="X177" s="52" t="n"/>
      <c r="Y177" s="52" t="n"/>
    </row>
    <row r="178">
      <c r="W178" s="52" t="n"/>
      <c r="X178" s="52" t="n"/>
      <c r="Y178" s="52" t="n"/>
    </row>
    <row r="179">
      <c r="W179" s="52" t="n"/>
      <c r="X179" s="52" t="n"/>
      <c r="Y179" s="52" t="n"/>
    </row>
    <row r="180">
      <c r="W180" s="52" t="n"/>
      <c r="X180" s="52" t="n"/>
      <c r="Y180" s="52" t="n"/>
    </row>
    <row r="181">
      <c r="F181" s="56">
        <f>SUM(F175:F180)</f>
        <v/>
      </c>
      <c r="G181" s="56">
        <f>SUM(G175:G180)</f>
        <v/>
      </c>
      <c r="H181" s="56">
        <f>SUM(H175:H180)</f>
        <v/>
      </c>
      <c r="I181" s="56">
        <f>SUM(I175:I180)</f>
        <v/>
      </c>
      <c r="W181" s="52" t="n"/>
      <c r="X181" s="52" t="n"/>
      <c r="Y181" s="52" t="n"/>
    </row>
    <row r="182">
      <c r="W182" s="52" t="n"/>
      <c r="X182" s="52" t="n"/>
      <c r="Y182" s="52" t="n"/>
    </row>
    <row r="183">
      <c r="B183" t="inlineStr">
        <is>
          <t>AFTERHOURS UNCATEGORISED</t>
        </is>
      </c>
      <c r="W183" s="52" t="n"/>
      <c r="X183" s="52" t="n"/>
      <c r="Y183" s="52" t="n"/>
    </row>
    <row r="184">
      <c r="W184" s="52" t="n"/>
      <c r="X184" s="52" t="n"/>
      <c r="Y184" s="52" t="n"/>
    </row>
    <row r="185">
      <c r="W185" s="52" t="n"/>
      <c r="X185" s="52" t="n"/>
      <c r="Y185" s="52" t="n"/>
    </row>
    <row r="186">
      <c r="W186" s="52" t="n"/>
      <c r="X186" s="52" t="n"/>
      <c r="Y186" s="52" t="n"/>
    </row>
    <row r="187">
      <c r="W187" s="52" t="n"/>
      <c r="X187" s="52" t="n"/>
      <c r="Y187" s="52" t="n"/>
    </row>
    <row r="188">
      <c r="W188" s="52" t="n"/>
      <c r="X188" s="52" t="n"/>
      <c r="Y188" s="52" t="n"/>
    </row>
    <row r="189">
      <c r="W189" s="52" t="n"/>
      <c r="X189" s="52" t="n"/>
      <c r="Y189" s="52" t="n"/>
    </row>
    <row r="190">
      <c r="F190" s="56">
        <f>SUM(F184:F189)</f>
        <v/>
      </c>
      <c r="G190" s="56">
        <f>SUM(G184:G189)</f>
        <v/>
      </c>
      <c r="H190" s="56">
        <f>SUM(H184:H189)</f>
        <v/>
      </c>
      <c r="I190" s="56">
        <f>SUM(I184:I189)</f>
        <v/>
      </c>
    </row>
  </sheetData>
  <conditionalFormatting sqref="K29:U42">
    <cfRule type="cellIs" priority="1" operator="equal" dxfId="0">
      <formula>0</formula>
    </cfRule>
  </conditionalFormatting>
  <conditionalFormatting sqref="K47:U52">
    <cfRule type="cellIs" priority="2" operator="equal" dxfId="0">
      <formula>0</formula>
    </cfRule>
  </conditionalFormatting>
  <conditionalFormatting sqref="K56:U61">
    <cfRule type="cellIs" priority="3" operator="equal" dxfId="0">
      <formula>0</formula>
    </cfRule>
  </conditionalFormatting>
  <conditionalFormatting sqref="K65:U77">
    <cfRule type="cellIs" priority="4" operator="equal" dxfId="0">
      <formula>0</formula>
    </cfRule>
  </conditionalFormatting>
  <conditionalFormatting sqref="K81:U88">
    <cfRule type="cellIs" priority="5" operator="equal" dxfId="0">
      <formula>0</formula>
    </cfRule>
  </conditionalFormatting>
  <conditionalFormatting sqref="K92:U97">
    <cfRule type="cellIs" priority="6" operator="equal" dxfId="0">
      <formula>0</formula>
    </cfRule>
  </conditionalFormatting>
  <conditionalFormatting sqref="K101:U106">
    <cfRule type="cellIs" priority="7" operator="equal" dxfId="0">
      <formula>0</formula>
    </cfRule>
  </conditionalFormatting>
  <conditionalFormatting sqref="K110:U117">
    <cfRule type="cellIs" priority="8" operator="equal" dxfId="0">
      <formula>0</formula>
    </cfRule>
  </conditionalFormatting>
  <conditionalFormatting sqref="K121:U126">
    <cfRule type="cellIs" priority="9" operator="equal" dxfId="0">
      <formula>0</formula>
    </cfRule>
  </conditionalFormatting>
  <conditionalFormatting sqref="K130:U135">
    <cfRule type="cellIs" priority="10" operator="equal" dxfId="0">
      <formula>0</formula>
    </cfRule>
  </conditionalFormatting>
  <conditionalFormatting sqref="K139:U144">
    <cfRule type="cellIs" priority="11" operator="equal" dxfId="0">
      <formula>0</formula>
    </cfRule>
  </conditionalFormatting>
  <conditionalFormatting sqref="K148:U153">
    <cfRule type="cellIs" priority="12" operator="equal" dxfId="0">
      <formula>0</formula>
    </cfRule>
  </conditionalFormatting>
  <conditionalFormatting sqref="K157:U162">
    <cfRule type="cellIs" priority="13" operator="equal" dxfId="0">
      <formula>0</formula>
    </cfRule>
  </conditionalFormatting>
  <conditionalFormatting sqref="K166:U171">
    <cfRule type="cellIs" priority="14" operator="equal" dxfId="0">
      <formula>0</formula>
    </cfRule>
  </conditionalFormatting>
  <conditionalFormatting sqref="K175:U180">
    <cfRule type="cellIs" priority="15" operator="equal" dxfId="0">
      <formula>0</formula>
    </cfRule>
  </conditionalFormatting>
  <conditionalFormatting sqref="K184:U189">
    <cfRule type="cellIs" priority="16" operator="equal" dxfId="0">
      <formula>0</formula>
    </cfRule>
  </conditionalFormatting>
  <conditionalFormatting sqref="I29:I52">
    <cfRule type="expression" priority="17" dxfId="1">
      <formula>$K29="N"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8093f2"/>
    <outlinePr summaryBelow="1" summaryRight="1"/>
    <pageSetUpPr/>
  </sheetPr>
  <dimension ref="A1:AA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WEEKLY COMMISSION</t>
        </is>
      </c>
      <c r="F1" s="2" t="inlineStr">
        <is>
          <t>WEEK ENDING</t>
        </is>
      </c>
      <c r="G1" s="2" t="inlineStr">
        <is>
          <t>30/11/2025</t>
        </is>
      </c>
    </row>
    <row r="2">
      <c r="K2" s="3" t="inlineStr">
        <is>
          <t>PHOTOS</t>
        </is>
      </c>
      <c r="L2" s="4" t="n"/>
      <c r="M2" s="4" t="n"/>
      <c r="N2" s="3" t="inlineStr">
        <is>
          <t>QUOTE</t>
        </is>
      </c>
      <c r="O2" s="4" t="n"/>
      <c r="P2" s="4" t="n"/>
      <c r="Q2" s="3" t="inlineStr">
        <is>
          <t>INVOICE</t>
        </is>
      </c>
      <c r="R2" s="4" t="n"/>
      <c r="S2" s="5" t="n"/>
      <c r="T2" s="5" t="n"/>
    </row>
    <row r="3">
      <c r="B3" s="3" t="inlineStr">
        <is>
          <t>BOOKED JOBS</t>
        </is>
      </c>
      <c r="C3" s="6">
        <f>B4+B5</f>
        <v/>
      </c>
      <c r="E3" s="3" t="inlineStr">
        <is>
          <t>WEEKLY TARGET</t>
        </is>
      </c>
      <c r="F3" s="4" t="n"/>
      <c r="G3" s="5" t="n"/>
      <c r="K3" s="7" t="inlineStr">
        <is>
          <t>BEFORE</t>
        </is>
      </c>
      <c r="L3" s="8" t="inlineStr">
        <is>
          <t>AFTER</t>
        </is>
      </c>
      <c r="M3" s="8" t="inlineStr">
        <is>
          <t>RECEIPT</t>
        </is>
      </c>
      <c r="N3" s="7" t="inlineStr">
        <is>
          <t>DESCRIPTION</t>
        </is>
      </c>
      <c r="O3" s="8" t="inlineStr">
        <is>
          <t>SIGNED</t>
        </is>
      </c>
      <c r="P3" s="8" t="inlineStr">
        <is>
          <t>EMAILED</t>
        </is>
      </c>
      <c r="Q3" s="7" t="inlineStr">
        <is>
          <t>DESCRIPTION</t>
        </is>
      </c>
      <c r="R3" s="8" t="inlineStr">
        <is>
          <t>SIGNED</t>
        </is>
      </c>
      <c r="S3" s="8" t="inlineStr">
        <is>
          <t>EMAILED</t>
        </is>
      </c>
      <c r="T3" s="9" t="inlineStr">
        <is>
          <t>5 Star Review</t>
        </is>
      </c>
    </row>
    <row r="4">
      <c r="B4" s="1" t="inlineStr">
        <is>
          <t>SUCCESSFUL</t>
        </is>
      </c>
      <c r="C4" s="10">
        <f>O11</f>
        <v/>
      </c>
      <c r="E4" s="11" t="inlineStr">
        <is>
          <t>Tier 1</t>
        </is>
      </c>
      <c r="F4" t="inlineStr">
        <is>
          <t>&lt;$25000</t>
        </is>
      </c>
      <c r="G4" s="12">
        <f>0.05</f>
        <v/>
      </c>
      <c r="J4" s="3" t="inlineStr">
        <is>
          <t>TAKEN</t>
        </is>
      </c>
      <c r="K4" s="13">
        <f>L36</f>
        <v/>
      </c>
      <c r="L4" s="13">
        <f>M36</f>
        <v/>
      </c>
      <c r="M4" s="13">
        <f>N36</f>
        <v/>
      </c>
      <c r="N4" s="13">
        <f>O36</f>
        <v/>
      </c>
      <c r="O4" s="13">
        <f>P36</f>
        <v/>
      </c>
      <c r="P4" s="13">
        <f>Q36</f>
        <v/>
      </c>
      <c r="Q4" s="13">
        <f>R36</f>
        <v/>
      </c>
      <c r="R4" s="13">
        <f>S36</f>
        <v/>
      </c>
      <c r="S4" s="13">
        <f>T36</f>
        <v/>
      </c>
      <c r="T4" s="14">
        <f>SUM(U29:U34) + SUM(U39:U44) + SUM(U73:U78) + SUM(U82:U87) + SUM(U100:U105) + SUM(U109:U114)</f>
        <v/>
      </c>
    </row>
    <row r="5">
      <c r="B5" s="1" t="inlineStr">
        <is>
          <t>UNSUCCESSFUL</t>
        </is>
      </c>
      <c r="C5" s="10">
        <f>O12</f>
        <v/>
      </c>
      <c r="E5" s="15" t="inlineStr">
        <is>
          <t>Tier 2</t>
        </is>
      </c>
      <c r="F5" s="16" t="inlineStr">
        <is>
          <t>&gt;=$25000</t>
        </is>
      </c>
      <c r="G5" s="17">
        <f>0.1</f>
        <v/>
      </c>
      <c r="J5" s="7" t="inlineStr">
        <is>
          <t>%</t>
        </is>
      </c>
      <c r="K5" s="18">
        <f>L36/L35</f>
        <v/>
      </c>
      <c r="L5" s="18">
        <f>M36/M35</f>
        <v/>
      </c>
      <c r="M5" s="18">
        <f>N36/N35</f>
        <v/>
      </c>
      <c r="N5" s="18">
        <f>O36/O35</f>
        <v/>
      </c>
      <c r="O5" s="18">
        <f>P36/P35</f>
        <v/>
      </c>
      <c r="P5" s="18">
        <f>Q36/Q35</f>
        <v/>
      </c>
      <c r="Q5" s="18">
        <f>R36/R35</f>
        <v/>
      </c>
      <c r="R5" s="18">
        <f>S36/S35</f>
        <v/>
      </c>
      <c r="S5" s="18">
        <f>T36/T35</f>
        <v/>
      </c>
      <c r="T5" s="19" t="n"/>
    </row>
    <row r="6">
      <c r="B6" s="1" t="inlineStr">
        <is>
          <t>SUCCESSFUL (%)</t>
        </is>
      </c>
      <c r="C6" s="20">
        <f>O13</f>
        <v/>
      </c>
    </row>
    <row r="7">
      <c r="C7" s="21" t="n"/>
      <c r="F7" s="3" t="inlineStr">
        <is>
          <t>ACTUAL</t>
        </is>
      </c>
      <c r="G7" s="6" t="inlineStr">
        <is>
          <t>POTENTIAL</t>
        </is>
      </c>
      <c r="H7" s="22" t="inlineStr">
        <is>
          <t>Exc. SUPER</t>
        </is>
      </c>
    </row>
    <row r="8">
      <c r="B8" s="7" t="inlineStr">
        <is>
          <t>AVERAGE SALE</t>
        </is>
      </c>
      <c r="C8" s="23">
        <f>O14</f>
        <v/>
      </c>
      <c r="E8" s="3" t="inlineStr">
        <is>
          <t>NET PROFIT</t>
        </is>
      </c>
      <c r="F8" s="24">
        <f>P10-R10</f>
        <v/>
      </c>
      <c r="G8" s="25">
        <f>SUM(I29:I34) + SUM(I73:I78) + SUM(I100:I105) + SUM(I127:I132)</f>
        <v/>
      </c>
      <c r="K8" s="3" t="inlineStr">
        <is>
          <t>DAILY NET PROFIT</t>
        </is>
      </c>
      <c r="L8" s="4" t="n"/>
      <c r="M8" s="4" t="n"/>
      <c r="N8" s="4" t="n"/>
      <c r="O8" s="4" t="n"/>
      <c r="P8" s="4" t="n"/>
      <c r="Q8" s="4" t="n"/>
      <c r="R8" s="26" t="inlineStr">
        <is>
          <t>WEEKDAY</t>
        </is>
      </c>
      <c r="S8" s="27" t="inlineStr">
        <is>
          <t>WEEKEND</t>
        </is>
      </c>
    </row>
    <row r="9">
      <c r="E9" s="13" t="inlineStr">
        <is>
          <t>UNLOCKED</t>
        </is>
      </c>
      <c r="F9" s="28">
        <f>IF(P10&gt;=25000,G5,G4)</f>
        <v/>
      </c>
      <c r="G9" s="29">
        <f>=IF(G8&gt;=25000,G5,G4)</f>
        <v/>
      </c>
      <c r="K9" s="3" t="inlineStr">
        <is>
          <t>MON</t>
        </is>
      </c>
      <c r="L9" s="30" t="inlineStr">
        <is>
          <t>TUE</t>
        </is>
      </c>
      <c r="M9" s="30" t="inlineStr">
        <is>
          <t>WED</t>
        </is>
      </c>
      <c r="N9" s="30" t="inlineStr">
        <is>
          <t>THU</t>
        </is>
      </c>
      <c r="O9" s="30" t="inlineStr">
        <is>
          <t>FRI</t>
        </is>
      </c>
      <c r="P9" s="30" t="inlineStr">
        <is>
          <t>Total</t>
        </is>
      </c>
      <c r="Q9" s="31" t="inlineStr">
        <is>
          <t>SAT</t>
        </is>
      </c>
      <c r="R9" s="26" t="inlineStr">
        <is>
          <t>Awaiting Payment</t>
        </is>
      </c>
      <c r="S9" s="27" t="inlineStr">
        <is>
          <t>Awaiting Payment</t>
        </is>
      </c>
    </row>
    <row r="10">
      <c r="E10" s="13" t="inlineStr">
        <is>
          <t>COMMISSION - PAY OUT</t>
        </is>
      </c>
      <c r="F10" s="32">
        <f>F8*F9</f>
        <v/>
      </c>
      <c r="G10" s="33">
        <f>G8*G9</f>
        <v/>
      </c>
      <c r="H10" s="34">
        <f>F10/1.12</f>
        <v/>
      </c>
      <c r="K10" s="35">
        <f>SUMIF(C29:C34, "24/11/2025", I29:I34) + SUMIF(C39:C44, "24/11/2025", I39:I44) + SUMIF(C73:C78, "24/11/2025", I73:I78) + SUMIF(C82:C87, "24/11/2025", I82:I87) + SUMIF(C100:C105, "24/11/2025", I100:I105) + SUMIF(C109:C114, "24/11/2025", I109:I114)</f>
        <v/>
      </c>
      <c r="L10" s="36">
        <f>SUMIF(C29:C34, "25/11/2025", I29:I34) + SUMIF(C39:C44, "25/11/2025", I39:I44) + SUMIF(C73:C78, "25/11/2025", I73:I78) + SUMIF(C82:C87, "25/11/2025", I82:I87) + SUMIF(C100:C105, "25/11/2025", I100:I105) + SUMIF(C109:C114, "25/11/2025", I109:I114)</f>
        <v/>
      </c>
      <c r="M10" s="36">
        <f>SUMIF(C29:C34, "26/11/2025", I29:I34) + SUMIF(C39:C44, "26/11/2025", I39:I44) + SUMIF(C73:C78, "26/11/2025", I73:I78) + SUMIF(C82:C87, "26/11/2025", I82:I87) + SUMIF(C100:C105, "26/11/2025", I100:I105) + SUMIF(C109:C114, "26/11/2025", I109:I114)</f>
        <v/>
      </c>
      <c r="N10" s="36">
        <f>SUMIF(C29:C34, "27/11/2025", I29:I34) + SUMIF(C39:C44, "27/11/2025", I39:I44) + SUMIF(C73:C78, "27/11/2025", I73:I78) + SUMIF(C82:C87, "27/11/2025", I82:I87) + SUMIF(C100:C105, "27/11/2025", I100:I105) + SUMIF(C109:C114, "27/11/2025", I109:I114)</f>
        <v/>
      </c>
      <c r="O10" s="36">
        <f>SUMIF(C29:C34, "28/11/2025", I29:I34) + SUMIF(C39:C44, "28/11/2025", I39:I44) + SUMIF(C73:C78, "28/11/2025", I73:I78) + SUMIF(C82:C87, "28/11/2025", I82:I87) + SUMIF(C100:C105, "28/11/2025", I100:I105) + SUMIF(C109:C114, "28/11/2025", I109:I114)</f>
        <v/>
      </c>
      <c r="P10" s="36">
        <f>SUM(J10:N10)</f>
        <v/>
      </c>
      <c r="Q10" s="37">
        <f>SUMIF(C29:C34, "29/11/2025", I29:I34) + SUMIF(C39:C44, "29/11/2025", I39:I44) + SUMIF(C73:C78, "29/11/2025", I73:I78) + SUMIF(C82:C87, "29/11/2025", I82:I87) + SUMIF(C100:C105, "29/11/2025", I100:I105) + SUMIF(C109:C114, "29/11/2025", I109:I114)</f>
        <v/>
      </c>
      <c r="R10" s="38">
        <f>SUM(I73:I78) + SUM(I100:I105)</f>
        <v/>
      </c>
      <c r="S10" s="39">
        <f>SUM(I82:I87) + SUM(I109:I114)</f>
        <v/>
      </c>
    </row>
    <row r="11">
      <c r="E11" s="13" t="inlineStr">
        <is>
          <t>EMERGENCY</t>
        </is>
      </c>
      <c r="F11" s="32">
        <f>P10</f>
        <v/>
      </c>
      <c r="G11" s="21" t="n"/>
      <c r="J11" t="inlineStr">
        <is>
          <t>Successful</t>
        </is>
      </c>
      <c r="K11">
        <f>COUNTIF(C29:C34, "24/11/2025") + COUNTIF(C39:C44, "24/11/2025") + COUNTIF(C73:C78, "24/11/2025") + COUNTIF(C82:C87, "24/11/2025") + COUNTIF(C100:C105, "24/11/2025") + COUNTIF(C109:C114, "24/11/2025")</f>
        <v/>
      </c>
      <c r="L11">
        <f>COUNTIF(C29:C34, "25/11/2025") + COUNTIF(C39:C44, "25/11/2025") + COUNTIF(C73:C78, "25/11/2025") + COUNTIF(C82:C87, "25/11/2025") + COUNTIF(C100:C105, "25/11/2025") + COUNTIF(C109:C114, "25/11/2025")</f>
        <v/>
      </c>
      <c r="M11">
        <f>COUNTIF(C29:C34, "26/11/2025") + COUNTIF(C39:C44, "26/11/2025") + COUNTIF(C73:C78, "26/11/2025") + COUNTIF(C82:C87, "26/11/2025") + COUNTIF(C100:C105, "26/11/2025") + COUNTIF(C109:C114, "26/11/2025")</f>
        <v/>
      </c>
      <c r="N11">
        <f>COUNTIF(C29:C34, "27/11/2025") + COUNTIF(C39:C44, "27/11/2025") + COUNTIF(C73:C78, "27/11/2025") + COUNTIF(C82:C87, "27/11/2025") + COUNTIF(C100:C105, "27/11/2025") + COUNTIF(C109:C114, "27/11/2025")</f>
        <v/>
      </c>
      <c r="O11">
        <f>COUNTIF(C29:C34, "28/11/2025") + COUNTIF(C39:C44, "28/11/2025") + COUNTIF(C73:C78, "28/11/2025") + COUNTIF(C82:C87, "28/11/2025") + COUNTIF(C100:C105, "28/11/2025") + COUNTIF(C109:C114, "28/11/2025")</f>
        <v/>
      </c>
      <c r="P11">
        <f>SUM(K11:O11)</f>
        <v/>
      </c>
      <c r="Q11">
        <f>COUNTIF(C29:C34, "29/11/2025") + COUNTIF(C39:C44, "29/11/2025") + COUNTIF(C73:C78, "29/11/2025") + COUNTIF(C82:C87, "29/11/2025") + COUNTIF(C100:C105, "29/11/2025") + COUNTIF(C109:C114, "29/11/2025")</f>
        <v/>
      </c>
    </row>
    <row r="12">
      <c r="E12" s="13" t="inlineStr">
        <is>
          <t>EMERGENCY - PAY OUT</t>
        </is>
      </c>
      <c r="F12" s="32">
        <f>F11*0.25</f>
        <v/>
      </c>
      <c r="G12" s="21" t="n"/>
      <c r="H12" s="34">
        <f>F12/1.12</f>
        <v/>
      </c>
      <c r="J12" t="inlineStr">
        <is>
          <t>Unsuccessful</t>
        </is>
      </c>
      <c r="K12">
        <f>COUNTIF(C127:C132, "24/11/2025") + COUNTIF(C136:C141, "24/11/2025")</f>
        <v/>
      </c>
      <c r="L12">
        <f>COUNTIF(C127:C132, "25/11/2025") + COUNTIF(C136:C141, "25/11/2025")</f>
        <v/>
      </c>
      <c r="M12">
        <f>COUNTIF(C127:C132, "26/11/2025") + COUNTIF(C136:C141, "26/11/2025")</f>
        <v/>
      </c>
      <c r="N12">
        <f>COUNTIF(C127:C132, "27/11/2025") + COUNTIF(C136:C141, "27/11/2025")</f>
        <v/>
      </c>
      <c r="O12">
        <f>COUNTIF(C127:C132, "28/11/2025") + COUNTIF(C136:C141, "28/11/2025")</f>
        <v/>
      </c>
      <c r="P12">
        <f>SUM(K12:O12)</f>
        <v/>
      </c>
      <c r="Q12">
        <f>COUNTIF(C127:C132, "29/11/2025") + COUNTIF(C136:C141, "29/11/2025")</f>
        <v/>
      </c>
    </row>
    <row r="13">
      <c r="E13" s="13" t="inlineStr">
        <is>
          <t>PREV. WEEK</t>
        </is>
      </c>
      <c r="F13" s="11" t="n">
        <v>0</v>
      </c>
      <c r="G13" s="40" t="n">
        <v>0</v>
      </c>
      <c r="J13" t="inlineStr">
        <is>
          <t>Success rate</t>
        </is>
      </c>
      <c r="K13" s="41">
        <f>K11/(K11+K12)</f>
        <v/>
      </c>
      <c r="L13" s="41">
        <f>L11/(L11+L12)</f>
        <v/>
      </c>
      <c r="M13" s="41">
        <f>M11/(M11+M12)</f>
        <v/>
      </c>
      <c r="N13" s="41">
        <f>N11/(N11+N12)</f>
        <v/>
      </c>
      <c r="O13" s="41">
        <f>O11/(O11+O12)</f>
        <v/>
      </c>
      <c r="P13" s="41">
        <f>P11/(P11+P12)</f>
        <v/>
      </c>
      <c r="Q13" s="41">
        <f>Q11/(Q11+Q12)</f>
        <v/>
      </c>
    </row>
    <row r="14">
      <c r="E14" s="7" t="inlineStr">
        <is>
          <t>PREV. WEEK - PAY OUT</t>
        </is>
      </c>
      <c r="F14" s="42">
        <f>F13*0.05</f>
        <v/>
      </c>
      <c r="G14" s="43">
        <f>=G13*0.05</f>
        <v/>
      </c>
      <c r="H14" s="34">
        <f>F14/1.12</f>
        <v/>
      </c>
      <c r="J14" t="inlineStr">
        <is>
          <t>Avg sale</t>
        </is>
      </c>
      <c r="K14" s="44">
        <f>K10/K11</f>
        <v/>
      </c>
      <c r="L14" s="44">
        <f>L10/L11</f>
        <v/>
      </c>
      <c r="M14" s="44">
        <f>M10/M11</f>
        <v/>
      </c>
      <c r="N14" s="44">
        <f>N10/N11</f>
        <v/>
      </c>
      <c r="O14" s="44">
        <f>O10/O11</f>
        <v/>
      </c>
      <c r="P14" s="44">
        <f>P10/P11</f>
        <v/>
      </c>
      <c r="Q14" s="44">
        <f>Q10/Q11</f>
        <v/>
      </c>
    </row>
    <row r="15">
      <c r="E15" s="45" t="inlineStr">
        <is>
          <t>5 Star Review</t>
        </is>
      </c>
      <c r="F15" s="32">
        <f>F16*50</f>
        <v/>
      </c>
    </row>
    <row r="16">
      <c r="E16" s="45" t="inlineStr">
        <is>
          <t>5 Star Notes</t>
        </is>
      </c>
      <c r="F16" s="11">
        <f>T4</f>
        <v/>
      </c>
      <c r="K16" s="46" t="inlineStr">
        <is>
          <t>Management Summary - SALES ONLY - COLUMN F</t>
        </is>
      </c>
      <c r="L16" s="47" t="n"/>
      <c r="M16" s="47" t="n"/>
      <c r="N16" s="47" t="n"/>
      <c r="O16" s="47" t="n"/>
      <c r="P16" s="47" t="n"/>
      <c r="Q16" s="47" t="n"/>
      <c r="R16" s="48" t="inlineStr">
        <is>
          <t>WEEKDAY</t>
        </is>
      </c>
      <c r="S16" s="49" t="inlineStr">
        <is>
          <t>WEEKEND</t>
        </is>
      </c>
    </row>
    <row r="17">
      <c r="K17" s="3" t="inlineStr">
        <is>
          <t>MON</t>
        </is>
      </c>
      <c r="L17" s="30" t="inlineStr">
        <is>
          <t>TUE</t>
        </is>
      </c>
      <c r="M17" s="30" t="inlineStr">
        <is>
          <t>WED</t>
        </is>
      </c>
      <c r="N17" s="30" t="inlineStr">
        <is>
          <t>THU</t>
        </is>
      </c>
      <c r="O17" s="30" t="inlineStr">
        <is>
          <t>FRI</t>
        </is>
      </c>
      <c r="P17" s="30" t="inlineStr">
        <is>
          <t>Total</t>
        </is>
      </c>
      <c r="Q17" s="31" t="inlineStr">
        <is>
          <t>SAT</t>
        </is>
      </c>
      <c r="R17" s="26" t="inlineStr">
        <is>
          <t>Awaiting Payment</t>
        </is>
      </c>
      <c r="S17" s="27" t="inlineStr">
        <is>
          <t>Awaiting Payment</t>
        </is>
      </c>
    </row>
    <row r="18">
      <c r="K18" s="35">
        <f>SUMIF(C29:C34, "24/11/2025", F29:F34) + SUMIF(C39:C44, "24/11/2025", F39:F44) + SUMIF(C73:C78, "24/11/2025", F73:F78) + SUMIF(C82:C87, "24/11/2025", F82:F87) + SUMIF(C100:C105, "24/11/2025", F100:F105) + SUMIF(C109:C114, "24/11/2025", F109:F114)</f>
        <v/>
      </c>
      <c r="L18" s="36">
        <f>SUMIF(C29:C34, "25/11/2025", F29:F34) + SUMIF(C39:C44, "25/11/2025", F39:F44) + SUMIF(C73:C78, "25/11/2025", F73:F78) + SUMIF(C82:C87, "25/11/2025", F82:F87) + SUMIF(C100:C105, "25/11/2025", F100:F105) + SUMIF(C109:C114, "25/11/2025", F109:F114)</f>
        <v/>
      </c>
      <c r="M18" s="36">
        <f>SUMIF(C29:C34, "26/11/2025", F29:F34) + SUMIF(C39:C44, "26/11/2025", F39:F44) + SUMIF(C73:C78, "26/11/2025", F73:F78) + SUMIF(C82:C87, "26/11/2025", F82:F87) + SUMIF(C100:C105, "26/11/2025", F100:F105) + SUMIF(C109:C114, "26/11/2025", F109:F114)</f>
        <v/>
      </c>
      <c r="N18" s="36">
        <f>SUMIF(C29:C34, "27/11/2025", F29:F34) + SUMIF(C39:C44, "27/11/2025", F39:F44) + SUMIF(C73:C78, "27/11/2025", F73:F78) + SUMIF(C82:C87, "27/11/2025", F82:F87) + SUMIF(C100:C105, "27/11/2025", F100:F105) + SUMIF(C109:C114, "27/11/2025", F109:F114)</f>
        <v/>
      </c>
      <c r="O18" s="36">
        <f>SUMIF(C29:C34, "28/11/2025", F29:F34) + SUMIF(C39:C44, "28/11/2025", F39:F44) + SUMIF(C73:C78, "28/11/2025", F73:F78) + SUMIF(C82:C87, "28/11/2025", F82:F87) + SUMIF(C100:C105, "28/11/2025", F100:F105) + SUMIF(C109:C114, "28/11/2025", F109:F114)</f>
        <v/>
      </c>
      <c r="P18" s="36">
        <f>SUM(K18:O18)</f>
        <v/>
      </c>
      <c r="Q18" s="37">
        <f>SUMIF(C29:C34, "29/11/2025", F29:F34) + SUMIF(C39:C44, "29/11/2025", F39:F44) + SUMIF(C73:C78, "29/11/2025", F73:F78) + SUMIF(C82:C87, "29/11/2025", F82:F87) + SUMIF(C100:C105, "29/11/2025", F100:F105) + SUMIF(C109:C114, "29/11/2025", F109:F114)</f>
        <v/>
      </c>
      <c r="R18" s="38">
        <f>SUM(F73:F78) + SUM(F100:F105)</f>
        <v/>
      </c>
      <c r="S18" s="39">
        <f>SUM(F82:F87) + SUM(F109:F114)</f>
        <v/>
      </c>
    </row>
    <row r="19">
      <c r="J19" t="inlineStr">
        <is>
          <t>Successful</t>
        </is>
      </c>
      <c r="K19">
        <f>K11</f>
        <v/>
      </c>
      <c r="L19">
        <f>L11</f>
        <v/>
      </c>
      <c r="M19">
        <f>M11</f>
        <v/>
      </c>
      <c r="N19">
        <f>N11</f>
        <v/>
      </c>
      <c r="O19">
        <f>O11</f>
        <v/>
      </c>
      <c r="P19">
        <f>P11</f>
        <v/>
      </c>
      <c r="Q19">
        <f>Q11</f>
        <v/>
      </c>
    </row>
    <row r="20">
      <c r="J20" t="inlineStr">
        <is>
          <t>Unsuccessful</t>
        </is>
      </c>
      <c r="K20">
        <f>K12</f>
        <v/>
      </c>
      <c r="L20">
        <f>L12</f>
        <v/>
      </c>
      <c r="M20">
        <f>M12</f>
        <v/>
      </c>
      <c r="N20">
        <f>N12</f>
        <v/>
      </c>
      <c r="O20">
        <f>O12</f>
        <v/>
      </c>
      <c r="P20">
        <f>P12</f>
        <v/>
      </c>
      <c r="Q20">
        <f>Q12</f>
        <v/>
      </c>
    </row>
    <row r="21">
      <c r="J21" t="inlineStr">
        <is>
          <t>Success rate</t>
        </is>
      </c>
      <c r="K21" s="41">
        <f>K13</f>
        <v/>
      </c>
      <c r="L21" s="41">
        <f>L13</f>
        <v/>
      </c>
      <c r="M21" s="41">
        <f>M13</f>
        <v/>
      </c>
      <c r="N21" s="41">
        <f>N13</f>
        <v/>
      </c>
      <c r="O21" s="41">
        <f>O13</f>
        <v/>
      </c>
      <c r="P21" s="41">
        <f>P13</f>
        <v/>
      </c>
      <c r="Q21" s="41">
        <f>Q13</f>
        <v/>
      </c>
    </row>
    <row r="22">
      <c r="J22" t="inlineStr">
        <is>
          <t>Avg sale</t>
        </is>
      </c>
      <c r="K22" s="44">
        <f>K18/K19</f>
        <v/>
      </c>
      <c r="L22" s="44">
        <f>L18/L19</f>
        <v/>
      </c>
      <c r="M22" s="44">
        <f>M18/M19</f>
        <v/>
      </c>
      <c r="N22" s="44">
        <f>N18/N19</f>
        <v/>
      </c>
      <c r="O22" s="44">
        <f>O18/O19</f>
        <v/>
      </c>
      <c r="P22" s="44">
        <f>P18/P19</f>
        <v/>
      </c>
      <c r="Q22" s="44">
        <f>Q18/Q19</f>
        <v/>
      </c>
    </row>
    <row r="26">
      <c r="B26" s="50" t="inlineStr">
        <is>
          <t>JOB DETAILS</t>
        </is>
      </c>
      <c r="C26" s="4" t="n"/>
      <c r="D26" s="4" t="n"/>
      <c r="E26" s="4" t="n"/>
      <c r="F26" s="50" t="inlineStr">
        <is>
          <t>JOB AMOUNT</t>
        </is>
      </c>
      <c r="G26" s="4" t="n"/>
      <c r="H26" s="4" t="n"/>
      <c r="I26" s="4" t="n"/>
      <c r="J26" s="4" t="n"/>
      <c r="K26" s="50" t="n"/>
      <c r="L26" s="50" t="inlineStr">
        <is>
          <t>PHOTOS</t>
        </is>
      </c>
      <c r="M26" s="4" t="n"/>
      <c r="N26" s="4" t="n"/>
      <c r="O26" s="50" t="inlineStr">
        <is>
          <t>QUOTE</t>
        </is>
      </c>
      <c r="P26" s="4" t="n"/>
      <c r="Q26" s="4" t="n"/>
      <c r="R26" s="50" t="inlineStr">
        <is>
          <t>INVOICE</t>
        </is>
      </c>
      <c r="S26" s="4" t="n"/>
      <c r="T26" s="4" t="n"/>
      <c r="U26" s="4" t="n"/>
      <c r="V26" s="5" t="inlineStr">
        <is>
          <t>NOTES</t>
        </is>
      </c>
    </row>
    <row r="27">
      <c r="B27" s="15" t="inlineStr">
        <is>
          <t>JOB STATUS</t>
        </is>
      </c>
      <c r="C27" s="16" t="inlineStr">
        <is>
          <t>DATE</t>
        </is>
      </c>
      <c r="D27" s="16" t="inlineStr">
        <is>
          <t>JOB #</t>
        </is>
      </c>
      <c r="E27" s="51" t="inlineStr">
        <is>
          <t>SUBURB</t>
        </is>
      </c>
      <c r="F27" s="16" t="inlineStr">
        <is>
          <t>AMOUNT EXC. GST</t>
        </is>
      </c>
      <c r="G27" s="16" t="inlineStr">
        <is>
          <t>MATERIALS</t>
        </is>
      </c>
      <c r="H27" s="16" t="inlineStr">
        <is>
          <t>MERCHANT FEES</t>
        </is>
      </c>
      <c r="I27" s="16" t="inlineStr">
        <is>
          <t>NET PROFIT</t>
        </is>
      </c>
      <c r="J27" s="51" t="inlineStr">
        <is>
          <t>PAID</t>
        </is>
      </c>
      <c r="K27" s="51" t="inlineStr">
        <is>
          <t>DOC CHECK DONE</t>
        </is>
      </c>
      <c r="L27" s="16" t="inlineStr">
        <is>
          <t>BEFORE</t>
        </is>
      </c>
      <c r="M27" s="16" t="inlineStr">
        <is>
          <t>AFTER</t>
        </is>
      </c>
      <c r="N27" s="51" t="inlineStr">
        <is>
          <t>RECEIPT</t>
        </is>
      </c>
      <c r="O27" s="16" t="inlineStr">
        <is>
          <t>DESCRIPTION</t>
        </is>
      </c>
      <c r="P27" s="16" t="inlineStr">
        <is>
          <t>SIGNED</t>
        </is>
      </c>
      <c r="Q27" s="51" t="inlineStr">
        <is>
          <t>EMAILED</t>
        </is>
      </c>
      <c r="R27" s="16" t="inlineStr">
        <is>
          <t>DESCRIPTION</t>
        </is>
      </c>
      <c r="S27" s="16" t="inlineStr">
        <is>
          <t>SIGNED</t>
        </is>
      </c>
      <c r="T27" s="51" t="inlineStr">
        <is>
          <t>EMAILED</t>
        </is>
      </c>
      <c r="U27" s="16" t="inlineStr">
        <is>
          <t>5 Star Review</t>
        </is>
      </c>
      <c r="V27" s="51" t="n"/>
      <c r="W27" s="52" t="inlineStr">
        <is>
          <t>EFTPOS</t>
        </is>
      </c>
      <c r="X27" s="52" t="inlineStr">
        <is>
          <t>CASH</t>
        </is>
      </c>
      <c r="Y27" s="52" t="inlineStr">
        <is>
          <t>Payment Plan</t>
        </is>
      </c>
    </row>
    <row r="28">
      <c r="B28" t="inlineStr">
        <is>
          <t>COMPLETED &amp; PAID JOBS</t>
        </is>
      </c>
      <c r="W28" s="52" t="n"/>
      <c r="X28" s="52" t="n"/>
      <c r="Y28" s="52" t="n"/>
    </row>
    <row r="29">
      <c r="B29" t="n">
        <v>1</v>
      </c>
      <c r="C29" t="inlineStr">
        <is>
          <t>26/11/2025</t>
        </is>
      </c>
      <c r="D29" t="n">
        <v>100287</v>
      </c>
      <c r="E29" t="inlineStr">
        <is>
          <t>Hampton Park</t>
        </is>
      </c>
      <c r="F29" s="44" t="n">
        <v>0</v>
      </c>
      <c r="G29" s="44" t="n">
        <v>0</v>
      </c>
      <c r="I29" s="44">
        <f>F29-G29-H29</f>
        <v/>
      </c>
      <c r="J29" t="n">
        <v/>
      </c>
      <c r="K29" s="53">
        <f>IF(OR(L29=0, M29=0, N29=0, O29=0, P29=0, Q29=0, R29=0, S29=0, T29=0), "N","Y")</f>
        <v/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s="52" t="n"/>
      <c r="X29" s="52" t="n"/>
      <c r="Y29" s="52" t="n"/>
      <c r="Z29" s="55">
        <f>ROUND(F29*1.1,2)</f>
        <v/>
      </c>
      <c r="AA29" s="55">
        <f>ROUND(Z29 - W29 - X29 - Y29,2)</f>
        <v/>
      </c>
    </row>
    <row r="30">
      <c r="W30" s="52" t="n"/>
      <c r="X30" s="52" t="n"/>
      <c r="Y30" s="52" t="n"/>
    </row>
    <row r="31">
      <c r="W31" s="52" t="n"/>
      <c r="X31" s="52" t="n"/>
      <c r="Y31" s="52" t="n"/>
    </row>
    <row r="32">
      <c r="W32" s="52" t="n"/>
      <c r="X32" s="52" t="n"/>
      <c r="Y32" s="52" t="n"/>
    </row>
    <row r="33">
      <c r="W33" s="52" t="n"/>
      <c r="X33" s="52" t="n"/>
      <c r="Y33" s="52" t="n"/>
    </row>
    <row r="34">
      <c r="W34" s="52" t="n"/>
      <c r="X34" s="52" t="n"/>
      <c r="Y34" s="52" t="n"/>
    </row>
    <row r="35">
      <c r="F35" s="56">
        <f>SUM(F29:F34)</f>
        <v/>
      </c>
      <c r="G35" s="56">
        <f>SUM(G29:G34)</f>
        <v/>
      </c>
      <c r="H35" s="56">
        <f>SUM(H29:H34)</f>
        <v/>
      </c>
      <c r="I35" s="56">
        <f>SUM(I29:I34)</f>
        <v/>
      </c>
      <c r="L35">
        <f>COUNT(L29:L34)</f>
        <v/>
      </c>
      <c r="M35">
        <f>COUNT(M29:M34)</f>
        <v/>
      </c>
      <c r="N35">
        <f>COUNT(N29:N34)</f>
        <v/>
      </c>
      <c r="O35">
        <f>COUNT(O29:O34)</f>
        <v/>
      </c>
      <c r="P35">
        <f>COUNT(P29:P34)</f>
        <v/>
      </c>
      <c r="Q35">
        <f>COUNT(Q29:Q34)</f>
        <v/>
      </c>
      <c r="R35">
        <f>COUNT(R29:R34)</f>
        <v/>
      </c>
      <c r="S35">
        <f>COUNT(S29:S34)</f>
        <v/>
      </c>
      <c r="T35">
        <f>COUNT(T29:T34)</f>
        <v/>
      </c>
      <c r="U35">
        <f>COUNT(U29:U34)</f>
        <v/>
      </c>
      <c r="W35" s="52" t="n"/>
      <c r="X35" s="52" t="n"/>
      <c r="Y35" s="52" t="n"/>
    </row>
    <row r="36">
      <c r="L36">
        <f>SUM(L29:L34)</f>
        <v/>
      </c>
      <c r="M36">
        <f>SUM(M29:M34)</f>
        <v/>
      </c>
      <c r="N36">
        <f>SUM(N29:N34)</f>
        <v/>
      </c>
      <c r="O36">
        <f>SUM(O29:O34)</f>
        <v/>
      </c>
      <c r="P36">
        <f>SUM(P29:P34)</f>
        <v/>
      </c>
      <c r="Q36">
        <f>SUM(Q29:Q34)</f>
        <v/>
      </c>
      <c r="R36">
        <f>SUM(R29:R34)</f>
        <v/>
      </c>
      <c r="S36">
        <f>SUM(S29:S34)</f>
        <v/>
      </c>
      <c r="T36">
        <f>SUM(T29:T34)</f>
        <v/>
      </c>
      <c r="U36">
        <f>SUM(U29:U34)</f>
        <v/>
      </c>
      <c r="W36" s="52" t="n"/>
      <c r="X36" s="52" t="n"/>
      <c r="Y36" s="52" t="n"/>
    </row>
    <row r="37">
      <c r="W37" s="52" t="n"/>
      <c r="X37" s="52" t="n"/>
      <c r="Y37" s="52" t="n"/>
    </row>
    <row r="38">
      <c r="B38" t="inlineStr">
        <is>
          <t>WEEKEND COMPLETED &amp; PAID JOBS</t>
        </is>
      </c>
      <c r="W38" s="52" t="n"/>
      <c r="X38" s="52" t="n"/>
      <c r="Y38" s="52" t="n"/>
    </row>
    <row r="39">
      <c r="W39" s="52" t="n"/>
      <c r="X39" s="52" t="n"/>
      <c r="Y39" s="52" t="n"/>
    </row>
    <row r="40">
      <c r="W40" s="52" t="n"/>
      <c r="X40" s="52" t="n"/>
      <c r="Y40" s="52" t="n"/>
    </row>
    <row r="41">
      <c r="W41" s="52" t="n"/>
      <c r="X41" s="52" t="n"/>
      <c r="Y41" s="52" t="n"/>
    </row>
    <row r="42">
      <c r="W42" s="52" t="n"/>
      <c r="X42" s="52" t="n"/>
      <c r="Y42" s="52" t="n"/>
    </row>
    <row r="43">
      <c r="W43" s="52" t="n"/>
      <c r="X43" s="52" t="n"/>
      <c r="Y43" s="52" t="n"/>
    </row>
    <row r="44">
      <c r="W44" s="52" t="n"/>
      <c r="X44" s="52" t="n"/>
      <c r="Y44" s="52" t="n"/>
    </row>
    <row r="45">
      <c r="F45" s="56">
        <f>SUM(F39:F44)</f>
        <v/>
      </c>
      <c r="G45" s="56">
        <f>SUM(G39:G44)</f>
        <v/>
      </c>
      <c r="H45" s="56">
        <f>SUM(H39:H44)</f>
        <v/>
      </c>
      <c r="I45" s="56">
        <f>SUM(I39:I44)</f>
        <v/>
      </c>
      <c r="W45" s="52" t="n"/>
      <c r="X45" s="52" t="n"/>
      <c r="Y45" s="52" t="n"/>
    </row>
    <row r="46">
      <c r="W46" s="52" t="n"/>
      <c r="X46" s="52" t="n"/>
      <c r="Y46" s="52" t="n"/>
    </row>
    <row r="47">
      <c r="B47" t="inlineStr">
        <is>
          <t>AFTERHOURS COMPLETED &amp; PAID JOBS</t>
        </is>
      </c>
      <c r="W47" s="52" t="n"/>
      <c r="X47" s="52" t="n"/>
      <c r="Y47" s="52" t="n"/>
    </row>
    <row r="48">
      <c r="W48" s="52" t="n"/>
      <c r="X48" s="52" t="n"/>
      <c r="Y48" s="52" t="n"/>
    </row>
    <row r="49">
      <c r="W49" s="52" t="n"/>
      <c r="X49" s="52" t="n"/>
      <c r="Y49" s="52" t="n"/>
    </row>
    <row r="50">
      <c r="W50" s="52" t="n"/>
      <c r="X50" s="52" t="n"/>
      <c r="Y50" s="52" t="n"/>
    </row>
    <row r="51">
      <c r="W51" s="52" t="n"/>
      <c r="X51" s="52" t="n"/>
      <c r="Y51" s="52" t="n"/>
    </row>
    <row r="52">
      <c r="W52" s="52" t="n"/>
      <c r="X52" s="52" t="n"/>
      <c r="Y52" s="52" t="n"/>
    </row>
    <row r="53">
      <c r="W53" s="52" t="n"/>
      <c r="X53" s="52" t="n"/>
      <c r="Y53" s="52" t="n"/>
    </row>
    <row r="54">
      <c r="F54" s="56">
        <f>SUM(F48:F53)</f>
        <v/>
      </c>
      <c r="G54" s="56">
        <f>SUM(G48:G53)</f>
        <v/>
      </c>
      <c r="H54" s="56">
        <f>SUM(H48:H53)</f>
        <v/>
      </c>
      <c r="I54" s="56">
        <f>SUM(I48:I53)</f>
        <v/>
      </c>
      <c r="W54" s="52" t="n"/>
      <c r="X54" s="52" t="n"/>
      <c r="Y54" s="52" t="n"/>
    </row>
    <row r="55">
      <c r="W55" s="52" t="n"/>
      <c r="X55" s="52" t="n"/>
      <c r="Y55" s="52" t="n"/>
    </row>
    <row r="56">
      <c r="A56" s="57" t="n"/>
      <c r="B56" s="57" t="inlineStr">
        <is>
          <t>PREVIOUS JOBS COMPLETED &amp; PAID (COMMISSION) - Modoras Team Please do ADD to THIS SECTION or AMEND/TOUCH</t>
        </is>
      </c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8" t="n"/>
      <c r="X56" s="58" t="n"/>
      <c r="Y56" s="52" t="n"/>
    </row>
    <row r="57">
      <c r="A57" s="57" t="n"/>
      <c r="B57" s="57" t="n">
        <v>1</v>
      </c>
      <c r="C57" s="57" t="n"/>
      <c r="D57" s="57" t="n"/>
      <c r="E57" s="57" t="n"/>
      <c r="F57" s="57" t="n"/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8" t="n"/>
      <c r="X57" s="58" t="n"/>
      <c r="Y57" s="52" t="n"/>
    </row>
    <row r="58">
      <c r="A58" s="57" t="n"/>
      <c r="B58" s="57" t="n">
        <v>2</v>
      </c>
      <c r="C58" s="57" t="n"/>
      <c r="D58" s="57" t="n"/>
      <c r="E58" s="57" t="n"/>
      <c r="F58" s="57" t="n"/>
      <c r="G58" s="57" t="n"/>
      <c r="H58" s="57" t="n"/>
      <c r="I58" s="57" t="n"/>
      <c r="J58" s="57" t="n"/>
      <c r="K58" s="57" t="n"/>
      <c r="L58" s="57" t="n"/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8" t="n"/>
      <c r="X58" s="58" t="n"/>
      <c r="Y58" s="52" t="n"/>
    </row>
    <row r="59">
      <c r="A59" s="57" t="n"/>
      <c r="B59" s="57" t="n">
        <v>3</v>
      </c>
      <c r="C59" s="57" t="n"/>
      <c r="D59" s="57" t="n"/>
      <c r="E59" s="57" t="n"/>
      <c r="F59" s="57" t="n"/>
      <c r="G59" s="57" t="n"/>
      <c r="H59" s="57" t="n"/>
      <c r="I59" s="57" t="n"/>
      <c r="J59" s="57" t="n"/>
      <c r="K59" s="57" t="n"/>
      <c r="L59" s="57" t="n"/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8" t="n"/>
      <c r="X59" s="58" t="n"/>
      <c r="Y59" s="52" t="n"/>
    </row>
    <row r="60">
      <c r="A60" s="57" t="n"/>
      <c r="B60" s="57" t="n">
        <v>4</v>
      </c>
      <c r="C60" s="57" t="n"/>
      <c r="D60" s="57" t="n"/>
      <c r="E60" s="57" t="n"/>
      <c r="F60" s="57" t="n"/>
      <c r="G60" s="57" t="n"/>
      <c r="H60" s="57" t="n"/>
      <c r="I60" s="57" t="n"/>
      <c r="J60" s="57" t="n"/>
      <c r="K60" s="57" t="n"/>
      <c r="L60" s="57" t="n"/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8" t="n"/>
      <c r="X60" s="58" t="n"/>
      <c r="Y60" s="52" t="n"/>
    </row>
    <row r="61">
      <c r="A61" s="57" t="n"/>
      <c r="B61" s="57" t="n">
        <v>5</v>
      </c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8" t="n"/>
      <c r="X61" s="58" t="n"/>
      <c r="Y61" s="52" t="n"/>
    </row>
    <row r="62">
      <c r="A62" s="57" t="n"/>
      <c r="B62" s="57" t="n">
        <v>6</v>
      </c>
      <c r="C62" s="57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8" t="n"/>
      <c r="X62" s="58" t="n"/>
      <c r="Y62" s="52" t="n"/>
    </row>
    <row r="63">
      <c r="A63" s="57" t="n"/>
      <c r="B63" s="57" t="n">
        <v>7</v>
      </c>
      <c r="C63" s="57" t="n"/>
      <c r="D63" s="57" t="n"/>
      <c r="E63" s="57" t="n"/>
      <c r="F63" s="57" t="n"/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8" t="n"/>
      <c r="X63" s="58" t="n"/>
      <c r="Y63" s="52" t="n"/>
    </row>
    <row r="64">
      <c r="A64" s="57" t="n"/>
      <c r="B64" s="57" t="n">
        <v>8</v>
      </c>
      <c r="C64" s="57" t="n"/>
      <c r="D64" s="57" t="n"/>
      <c r="E64" s="57" t="n"/>
      <c r="F64" s="57" t="n"/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8" t="n"/>
      <c r="X64" s="58" t="n"/>
      <c r="Y64" s="52" t="n"/>
    </row>
    <row r="65">
      <c r="W65" s="52" t="n"/>
      <c r="X65" s="52" t="n"/>
      <c r="Y65" s="52" t="n"/>
    </row>
    <row r="66">
      <c r="W66" s="52" t="n"/>
      <c r="X66" s="52" t="n"/>
      <c r="Y66" s="52" t="n"/>
    </row>
    <row r="67">
      <c r="W67" s="52" t="n"/>
      <c r="X67" s="52" t="n"/>
      <c r="Y67" s="52" t="n"/>
    </row>
    <row r="68">
      <c r="W68" s="52" t="n"/>
      <c r="X68" s="52" t="n"/>
      <c r="Y68" s="52" t="n"/>
    </row>
    <row r="69">
      <c r="W69" s="52" t="n"/>
      <c r="X69" s="52" t="n"/>
      <c r="Y69" s="52" t="n"/>
    </row>
    <row r="70">
      <c r="F70" s="56">
        <f>SUM(F57:F69)</f>
        <v/>
      </c>
      <c r="G70" s="56">
        <f>SUM(G57:G69)</f>
        <v/>
      </c>
      <c r="H70" s="56">
        <f>SUM(H57:H69)</f>
        <v/>
      </c>
      <c r="I70" s="56">
        <f>SUM(I57:I69)</f>
        <v/>
      </c>
      <c r="W70" s="52" t="n"/>
      <c r="X70" s="52" t="n"/>
      <c r="Y70" s="52" t="n"/>
    </row>
    <row r="71">
      <c r="W71" s="52" t="n"/>
      <c r="X71" s="52" t="n"/>
      <c r="Y71" s="52" t="n"/>
    </row>
    <row r="72">
      <c r="B72" s="59" t="inlineStr">
        <is>
          <t>CURRENT JOBS COMPLETED (AWAITING PAYMENT)</t>
        </is>
      </c>
      <c r="W72" s="52" t="n"/>
      <c r="X72" s="52" t="n"/>
      <c r="Y72" s="52" t="n"/>
    </row>
    <row r="73">
      <c r="W73" s="52" t="n"/>
      <c r="X73" s="52" t="n"/>
      <c r="Y73" s="52" t="n"/>
    </row>
    <row r="74">
      <c r="W74" s="52" t="n"/>
      <c r="X74" s="52" t="n"/>
      <c r="Y74" s="52" t="n"/>
    </row>
    <row r="75">
      <c r="W75" s="52" t="n"/>
      <c r="X75" s="52" t="n"/>
      <c r="Y75" s="52" t="n"/>
    </row>
    <row r="76">
      <c r="W76" s="52" t="n"/>
      <c r="X76" s="52" t="n"/>
      <c r="Y76" s="52" t="n"/>
    </row>
    <row r="77">
      <c r="W77" s="52" t="n"/>
      <c r="X77" s="52" t="n"/>
      <c r="Y77" s="52" t="n"/>
    </row>
    <row r="78">
      <c r="W78" s="52" t="n"/>
      <c r="X78" s="52" t="n"/>
      <c r="Y78" s="52" t="n"/>
    </row>
    <row r="79">
      <c r="F79" s="56">
        <f>SUM(F73:F78)</f>
        <v/>
      </c>
      <c r="G79" s="56">
        <f>SUM(G73:G78)</f>
        <v/>
      </c>
      <c r="H79" s="56">
        <f>SUM(H73:H78)</f>
        <v/>
      </c>
      <c r="I79" s="56">
        <f>SUM(I73:I78)</f>
        <v/>
      </c>
      <c r="W79" s="52" t="n"/>
      <c r="X79" s="52" t="n"/>
      <c r="Y79" s="52" t="n"/>
    </row>
    <row r="80">
      <c r="W80" s="52" t="n"/>
      <c r="X80" s="52" t="n"/>
      <c r="Y80" s="52" t="n"/>
    </row>
    <row r="81">
      <c r="B81" s="59" t="inlineStr">
        <is>
          <t>WEEKEND CURRENT JOBS COMPLETED (AWAITING PAYMENT)</t>
        </is>
      </c>
      <c r="W81" s="52" t="n"/>
      <c r="X81" s="52" t="n"/>
      <c r="Y81" s="52" t="n"/>
    </row>
    <row r="82">
      <c r="W82" s="52" t="n"/>
      <c r="X82" s="52" t="n"/>
      <c r="Y82" s="52" t="n"/>
    </row>
    <row r="83">
      <c r="W83" s="52" t="n"/>
      <c r="X83" s="52" t="n"/>
      <c r="Y83" s="52" t="n"/>
    </row>
    <row r="84">
      <c r="W84" s="52" t="n"/>
      <c r="X84" s="52" t="n"/>
      <c r="Y84" s="52" t="n"/>
    </row>
    <row r="85">
      <c r="W85" s="52" t="n"/>
      <c r="X85" s="52" t="n"/>
      <c r="Y85" s="52" t="n"/>
    </row>
    <row r="86">
      <c r="W86" s="52" t="n"/>
      <c r="X86" s="52" t="n"/>
      <c r="Y86" s="52" t="n"/>
    </row>
    <row r="87">
      <c r="W87" s="52" t="n"/>
      <c r="X87" s="52" t="n"/>
      <c r="Y87" s="52" t="n"/>
    </row>
    <row r="88">
      <c r="F88" s="56">
        <f>SUM(F82:F87)</f>
        <v/>
      </c>
      <c r="G88" s="56">
        <f>SUM(G82:G87)</f>
        <v/>
      </c>
      <c r="H88" s="56">
        <f>SUM(H82:H87)</f>
        <v/>
      </c>
      <c r="I88" s="56">
        <f>SUM(I82:I87)</f>
        <v/>
      </c>
      <c r="W88" s="52" t="n"/>
      <c r="X88" s="52" t="n"/>
      <c r="Y88" s="52" t="n"/>
    </row>
    <row r="89">
      <c r="W89" s="52" t="n"/>
      <c r="X89" s="52" t="n"/>
      <c r="Y89" s="52" t="n"/>
    </row>
    <row r="90">
      <c r="B90" t="inlineStr">
        <is>
          <t>AFTERHOURS CURRENT JOBS COMPLETED (AWAITING PAYMENT)</t>
        </is>
      </c>
      <c r="W90" s="52" t="n"/>
      <c r="X90" s="52" t="n"/>
      <c r="Y90" s="52" t="n"/>
    </row>
    <row r="91">
      <c r="W91" s="52" t="n"/>
      <c r="X91" s="52" t="n"/>
      <c r="Y91" s="52" t="n"/>
    </row>
    <row r="92">
      <c r="W92" s="52" t="n"/>
      <c r="X92" s="52" t="n"/>
      <c r="Y92" s="52" t="n"/>
    </row>
    <row r="93">
      <c r="W93" s="52" t="n"/>
      <c r="X93" s="52" t="n"/>
      <c r="Y93" s="52" t="n"/>
    </row>
    <row r="94">
      <c r="W94" s="52" t="n"/>
      <c r="X94" s="52" t="n"/>
      <c r="Y94" s="52" t="n"/>
    </row>
    <row r="95">
      <c r="W95" s="52" t="n"/>
      <c r="X95" s="52" t="n"/>
      <c r="Y95" s="52" t="n"/>
    </row>
    <row r="96">
      <c r="W96" s="52" t="n"/>
      <c r="X96" s="52" t="n"/>
      <c r="Y96" s="52" t="n"/>
    </row>
    <row r="97">
      <c r="F97" s="56">
        <f>SUM(F91:F96)</f>
        <v/>
      </c>
      <c r="G97" s="56">
        <f>SUM(G91:G96)</f>
        <v/>
      </c>
      <c r="H97" s="56">
        <f>SUM(H91:H96)</f>
        <v/>
      </c>
      <c r="I97" s="56">
        <f>SUM(I91:I96)</f>
        <v/>
      </c>
      <c r="W97" s="52" t="n"/>
      <c r="X97" s="52" t="n"/>
      <c r="Y97" s="52" t="n"/>
    </row>
    <row r="98">
      <c r="W98" s="52" t="n"/>
      <c r="X98" s="52" t="n"/>
      <c r="Y98" s="52" t="n"/>
    </row>
    <row r="99">
      <c r="B99" s="59" t="inlineStr">
        <is>
          <t>CURRENT WORK ORDERS (AWAITING PAYMENT)</t>
        </is>
      </c>
      <c r="W99" s="52" t="n"/>
      <c r="X99" s="52" t="n"/>
      <c r="Y99" s="52" t="n"/>
    </row>
    <row r="100">
      <c r="B100" s="59" t="n">
        <v>1</v>
      </c>
      <c r="C100" s="59" t="inlineStr">
        <is>
          <t>24/11/2025</t>
        </is>
      </c>
      <c r="D100" s="59" t="n">
        <v>100205</v>
      </c>
      <c r="E100" s="59" t="inlineStr">
        <is>
          <t>Kew</t>
        </is>
      </c>
      <c r="F100" s="60" t="n">
        <v>0</v>
      </c>
      <c r="G100" s="60" t="n">
        <v>0</v>
      </c>
      <c r="I100" s="60">
        <f>F100-G100-H100</f>
        <v/>
      </c>
      <c r="J100" s="59" t="n">
        <v/>
      </c>
      <c r="K100" s="61">
        <f>IF(OR(L100=0, M100=0, N100=0, O100=0, P100=0, Q100=0, R100=0, S100=0, T100=0), "N","Y")</f>
        <v/>
      </c>
      <c r="L100" s="59" t="n">
        <v>0</v>
      </c>
      <c r="M100" s="59" t="n">
        <v>0</v>
      </c>
      <c r="N100" s="59" t="n">
        <v>0</v>
      </c>
      <c r="O100" s="59" t="n">
        <v>0</v>
      </c>
      <c r="P100" s="59" t="n">
        <v>0</v>
      </c>
      <c r="Q100" s="59" t="n">
        <v>0</v>
      </c>
      <c r="R100" s="59" t="n">
        <v>0</v>
      </c>
      <c r="S100" s="59" t="n">
        <v>0</v>
      </c>
      <c r="T100" s="59" t="n">
        <v>0</v>
      </c>
      <c r="U100" s="59" t="n">
        <v>0</v>
      </c>
      <c r="W100" s="52" t="n"/>
      <c r="X100" s="52" t="n"/>
      <c r="Y100" s="52" t="n"/>
      <c r="Z100" s="55">
        <f>ROUND(F100*1.1,2)</f>
        <v/>
      </c>
      <c r="AA100" s="55">
        <f>ROUND(Z100 - W100 - X100 - Y100,2)</f>
        <v/>
      </c>
    </row>
    <row r="101">
      <c r="W101" s="52" t="n"/>
      <c r="X101" s="52" t="n"/>
      <c r="Y101" s="52" t="n"/>
    </row>
    <row r="102">
      <c r="W102" s="52" t="n"/>
      <c r="X102" s="52" t="n"/>
      <c r="Y102" s="52" t="n"/>
    </row>
    <row r="103">
      <c r="W103" s="52" t="n"/>
      <c r="X103" s="52" t="n"/>
      <c r="Y103" s="52" t="n"/>
    </row>
    <row r="104">
      <c r="W104" s="52" t="n"/>
      <c r="X104" s="52" t="n"/>
      <c r="Y104" s="52" t="n"/>
    </row>
    <row r="105">
      <c r="W105" s="52" t="n"/>
      <c r="X105" s="52" t="n"/>
      <c r="Y105" s="52" t="n"/>
    </row>
    <row r="106">
      <c r="F106" s="56">
        <f>SUM(F100:F105)</f>
        <v/>
      </c>
      <c r="G106" s="56">
        <f>SUM(G100:G105)</f>
        <v/>
      </c>
      <c r="H106" s="56">
        <f>SUM(H100:H105)</f>
        <v/>
      </c>
      <c r="I106" s="56">
        <f>SUM(I100:I105)</f>
        <v/>
      </c>
      <c r="W106" s="52" t="n"/>
      <c r="X106" s="52" t="n"/>
      <c r="Y106" s="52" t="n"/>
    </row>
    <row r="107">
      <c r="W107" s="52" t="n"/>
      <c r="X107" s="52" t="n"/>
      <c r="Y107" s="52" t="n"/>
    </row>
    <row r="108">
      <c r="B108" s="59" t="inlineStr">
        <is>
          <t>WEEKEND WORK ORDERS (AWAITING PAYMENT)</t>
        </is>
      </c>
      <c r="W108" s="52" t="n"/>
      <c r="X108" s="52" t="n"/>
      <c r="Y108" s="52" t="n"/>
    </row>
    <row r="109">
      <c r="W109" s="52" t="n"/>
      <c r="X109" s="52" t="n"/>
      <c r="Y109" s="52" t="n"/>
    </row>
    <row r="110">
      <c r="W110" s="52" t="n"/>
      <c r="X110" s="52" t="n"/>
      <c r="Y110" s="52" t="n"/>
    </row>
    <row r="111">
      <c r="W111" s="52" t="n"/>
      <c r="X111" s="52" t="n"/>
      <c r="Y111" s="52" t="n"/>
    </row>
    <row r="112">
      <c r="W112" s="52" t="n"/>
      <c r="X112" s="52" t="n"/>
      <c r="Y112" s="52" t="n"/>
    </row>
    <row r="113">
      <c r="W113" s="52" t="n"/>
      <c r="X113" s="52" t="n"/>
      <c r="Y113" s="52" t="n"/>
    </row>
    <row r="114">
      <c r="W114" s="52" t="n"/>
      <c r="X114" s="52" t="n"/>
      <c r="Y114" s="52" t="n"/>
    </row>
    <row r="115">
      <c r="F115" s="56">
        <f>SUM(F109:F114)</f>
        <v/>
      </c>
      <c r="G115" s="56">
        <f>SUM(G109:G114)</f>
        <v/>
      </c>
      <c r="H115" s="56">
        <f>SUM(H109:H114)</f>
        <v/>
      </c>
      <c r="I115" s="56">
        <f>SUM(I109:I114)</f>
        <v/>
      </c>
      <c r="W115" s="52" t="n"/>
      <c r="X115" s="52" t="n"/>
      <c r="Y115" s="52" t="n"/>
    </row>
    <row r="116">
      <c r="W116" s="52" t="n"/>
      <c r="X116" s="52" t="n"/>
      <c r="Y116" s="52" t="n"/>
    </row>
    <row r="117">
      <c r="B117" t="inlineStr">
        <is>
          <t>AFTERHOURS WORK ORDERS (AWAITING PAYMENT)</t>
        </is>
      </c>
      <c r="W117" s="52" t="n"/>
      <c r="X117" s="52" t="n"/>
      <c r="Y117" s="52" t="n"/>
    </row>
    <row r="118">
      <c r="W118" s="52" t="n"/>
      <c r="X118" s="52" t="n"/>
      <c r="Y118" s="52" t="n"/>
    </row>
    <row r="119">
      <c r="W119" s="52" t="n"/>
      <c r="X119" s="52" t="n"/>
      <c r="Y119" s="52" t="n"/>
    </row>
    <row r="120">
      <c r="W120" s="52" t="n"/>
      <c r="X120" s="52" t="n"/>
      <c r="Y120" s="52" t="n"/>
    </row>
    <row r="121">
      <c r="W121" s="52" t="n"/>
      <c r="X121" s="52" t="n"/>
      <c r="Y121" s="52" t="n"/>
    </row>
    <row r="122">
      <c r="W122" s="52" t="n"/>
      <c r="X122" s="52" t="n"/>
      <c r="Y122" s="52" t="n"/>
    </row>
    <row r="123">
      <c r="W123" s="52" t="n"/>
      <c r="X123" s="52" t="n"/>
      <c r="Y123" s="52" t="n"/>
    </row>
    <row r="124">
      <c r="F124" s="56">
        <f>SUM(F118:F123)</f>
        <v/>
      </c>
      <c r="G124" s="56">
        <f>SUM(G118:G123)</f>
        <v/>
      </c>
      <c r="H124" s="56">
        <f>SUM(H118:H123)</f>
        <v/>
      </c>
      <c r="I124" s="56">
        <f>SUM(I118:I123)</f>
        <v/>
      </c>
      <c r="W124" s="52" t="n"/>
      <c r="X124" s="52" t="n"/>
      <c r="Y124" s="52" t="n"/>
    </row>
    <row r="125">
      <c r="W125" s="52" t="n"/>
      <c r="X125" s="52" t="n"/>
      <c r="Y125" s="52" t="n"/>
    </row>
    <row r="126">
      <c r="B126" t="inlineStr">
        <is>
          <t>UNSUCCESSFUL JOBS</t>
        </is>
      </c>
      <c r="W126" s="52" t="n"/>
      <c r="X126" s="52" t="n"/>
      <c r="Y126" s="52" t="n"/>
    </row>
    <row r="127">
      <c r="W127" s="52" t="n"/>
      <c r="X127" s="52" t="n"/>
      <c r="Y127" s="52" t="n"/>
    </row>
    <row r="128">
      <c r="W128" s="52" t="n"/>
      <c r="X128" s="52" t="n"/>
      <c r="Y128" s="52" t="n"/>
    </row>
    <row r="129">
      <c r="W129" s="52" t="n"/>
      <c r="X129" s="52" t="n"/>
      <c r="Y129" s="52" t="n"/>
    </row>
    <row r="130">
      <c r="W130" s="52" t="n"/>
      <c r="X130" s="52" t="n"/>
      <c r="Y130" s="52" t="n"/>
    </row>
    <row r="131">
      <c r="W131" s="52" t="n"/>
      <c r="X131" s="52" t="n"/>
      <c r="Y131" s="52" t="n"/>
    </row>
    <row r="132">
      <c r="W132" s="52" t="n"/>
      <c r="X132" s="52" t="n"/>
      <c r="Y132" s="52" t="n"/>
    </row>
    <row r="133">
      <c r="F133" s="56">
        <f>SUM(F127:F132)</f>
        <v/>
      </c>
      <c r="G133" s="56">
        <f>SUM(G127:G132)</f>
        <v/>
      </c>
      <c r="H133" s="56">
        <f>SUM(H127:H132)</f>
        <v/>
      </c>
      <c r="I133" s="56">
        <f>SUM(I127:I132)</f>
        <v/>
      </c>
      <c r="W133" s="52" t="n"/>
      <c r="X133" s="52" t="n"/>
      <c r="Y133" s="52" t="n"/>
    </row>
    <row r="134">
      <c r="W134" s="52" t="n"/>
      <c r="X134" s="52" t="n"/>
      <c r="Y134" s="52" t="n"/>
    </row>
    <row r="135">
      <c r="B135" t="inlineStr">
        <is>
          <t>WEEKEND UNSUCCESSFUL JOBS</t>
        </is>
      </c>
      <c r="W135" s="52" t="n"/>
      <c r="X135" s="52" t="n"/>
      <c r="Y135" s="52" t="n"/>
    </row>
    <row r="136">
      <c r="W136" s="52" t="n"/>
      <c r="X136" s="52" t="n"/>
      <c r="Y136" s="52" t="n"/>
    </row>
    <row r="137">
      <c r="W137" s="52" t="n"/>
      <c r="X137" s="52" t="n"/>
      <c r="Y137" s="52" t="n"/>
    </row>
    <row r="138">
      <c r="W138" s="52" t="n"/>
      <c r="X138" s="52" t="n"/>
      <c r="Y138" s="52" t="n"/>
    </row>
    <row r="139">
      <c r="W139" s="52" t="n"/>
      <c r="X139" s="52" t="n"/>
      <c r="Y139" s="52" t="n"/>
    </row>
    <row r="140">
      <c r="W140" s="52" t="n"/>
      <c r="X140" s="52" t="n"/>
      <c r="Y140" s="52" t="n"/>
    </row>
    <row r="141">
      <c r="W141" s="52" t="n"/>
      <c r="X141" s="52" t="n"/>
      <c r="Y141" s="52" t="n"/>
    </row>
    <row r="142">
      <c r="F142" s="56">
        <f>SUM(F136:F141)</f>
        <v/>
      </c>
      <c r="G142" s="56">
        <f>SUM(G136:G141)</f>
        <v/>
      </c>
      <c r="H142" s="56">
        <f>SUM(H136:H141)</f>
        <v/>
      </c>
      <c r="I142" s="56">
        <f>SUM(I136:I141)</f>
        <v/>
      </c>
      <c r="W142" s="52" t="n"/>
      <c r="X142" s="52" t="n"/>
      <c r="Y142" s="52" t="n"/>
    </row>
    <row r="143">
      <c r="W143" s="52" t="n"/>
      <c r="X143" s="52" t="n"/>
      <c r="Y143" s="52" t="n"/>
    </row>
    <row r="144">
      <c r="B144" t="inlineStr">
        <is>
          <t>AFTERHOURS UNSUCCESSFUL JOBS</t>
        </is>
      </c>
      <c r="W144" s="52" t="n"/>
      <c r="X144" s="52" t="n"/>
      <c r="Y144" s="52" t="n"/>
    </row>
    <row r="145">
      <c r="W145" s="52" t="n"/>
      <c r="X145" s="52" t="n"/>
      <c r="Y145" s="52" t="n"/>
    </row>
    <row r="146">
      <c r="W146" s="52" t="n"/>
      <c r="X146" s="52" t="n"/>
      <c r="Y146" s="52" t="n"/>
    </row>
    <row r="147">
      <c r="W147" s="52" t="n"/>
      <c r="X147" s="52" t="n"/>
      <c r="Y147" s="52" t="n"/>
    </row>
    <row r="148">
      <c r="W148" s="52" t="n"/>
      <c r="X148" s="52" t="n"/>
      <c r="Y148" s="52" t="n"/>
    </row>
    <row r="149">
      <c r="W149" s="52" t="n"/>
      <c r="X149" s="52" t="n"/>
      <c r="Y149" s="52" t="n"/>
    </row>
    <row r="150">
      <c r="W150" s="52" t="n"/>
      <c r="X150" s="52" t="n"/>
      <c r="Y150" s="52" t="n"/>
    </row>
    <row r="151">
      <c r="F151" s="56">
        <f>SUM(F145:F150)</f>
        <v/>
      </c>
      <c r="G151" s="56">
        <f>SUM(G145:G150)</f>
        <v/>
      </c>
      <c r="H151" s="56">
        <f>SUM(H145:H150)</f>
        <v/>
      </c>
      <c r="I151" s="56">
        <f>SUM(I145:I150)</f>
        <v/>
      </c>
      <c r="W151" s="52" t="n"/>
      <c r="X151" s="52" t="n"/>
      <c r="Y151" s="52" t="n"/>
    </row>
    <row r="152">
      <c r="W152" s="52" t="n"/>
      <c r="X152" s="52" t="n"/>
      <c r="Y152" s="52" t="n"/>
    </row>
    <row r="153">
      <c r="B153" t="inlineStr">
        <is>
          <t>WEEK UNCATEGORISED</t>
        </is>
      </c>
      <c r="W153" s="52" t="n"/>
      <c r="X153" s="52" t="n"/>
      <c r="Y153" s="52" t="n"/>
    </row>
    <row r="154">
      <c r="W154" s="52" t="n"/>
      <c r="X154" s="52" t="n"/>
      <c r="Y154" s="52" t="n"/>
    </row>
    <row r="155">
      <c r="W155" s="52" t="n"/>
      <c r="X155" s="52" t="n"/>
      <c r="Y155" s="52" t="n"/>
    </row>
    <row r="156">
      <c r="W156" s="52" t="n"/>
      <c r="X156" s="52" t="n"/>
      <c r="Y156" s="52" t="n"/>
    </row>
    <row r="157">
      <c r="W157" s="52" t="n"/>
      <c r="X157" s="52" t="n"/>
      <c r="Y157" s="52" t="n"/>
    </row>
    <row r="158">
      <c r="W158" s="52" t="n"/>
      <c r="X158" s="52" t="n"/>
      <c r="Y158" s="52" t="n"/>
    </row>
    <row r="159">
      <c r="W159" s="52" t="n"/>
      <c r="X159" s="52" t="n"/>
      <c r="Y159" s="52" t="n"/>
    </row>
    <row r="160">
      <c r="F160" s="56">
        <f>SUM(F154:F159)</f>
        <v/>
      </c>
      <c r="G160" s="56">
        <f>SUM(G154:G159)</f>
        <v/>
      </c>
      <c r="H160" s="56">
        <f>SUM(H154:H159)</f>
        <v/>
      </c>
      <c r="I160" s="56">
        <f>SUM(I154:I159)</f>
        <v/>
      </c>
      <c r="W160" s="52" t="n"/>
      <c r="X160" s="52" t="n"/>
      <c r="Y160" s="52" t="n"/>
    </row>
    <row r="161">
      <c r="W161" s="52" t="n"/>
      <c r="X161" s="52" t="n"/>
      <c r="Y161" s="52" t="n"/>
    </row>
    <row r="162">
      <c r="B162" t="inlineStr">
        <is>
          <t>WEEKEND UNCATEGORISED</t>
        </is>
      </c>
      <c r="W162" s="52" t="n"/>
      <c r="X162" s="52" t="n"/>
      <c r="Y162" s="52" t="n"/>
    </row>
    <row r="163">
      <c r="W163" s="52" t="n"/>
      <c r="X163" s="52" t="n"/>
      <c r="Y163" s="52" t="n"/>
    </row>
    <row r="164">
      <c r="W164" s="52" t="n"/>
      <c r="X164" s="52" t="n"/>
      <c r="Y164" s="52" t="n"/>
    </row>
    <row r="165">
      <c r="W165" s="52" t="n"/>
      <c r="X165" s="52" t="n"/>
      <c r="Y165" s="52" t="n"/>
    </row>
    <row r="166">
      <c r="W166" s="52" t="n"/>
      <c r="X166" s="52" t="n"/>
      <c r="Y166" s="52" t="n"/>
    </row>
    <row r="167">
      <c r="W167" s="52" t="n"/>
      <c r="X167" s="52" t="n"/>
      <c r="Y167" s="52" t="n"/>
    </row>
    <row r="168">
      <c r="W168" s="52" t="n"/>
      <c r="X168" s="52" t="n"/>
      <c r="Y168" s="52" t="n"/>
    </row>
    <row r="169">
      <c r="F169" s="56">
        <f>SUM(F163:F168)</f>
        <v/>
      </c>
      <c r="G169" s="56">
        <f>SUM(G163:G168)</f>
        <v/>
      </c>
      <c r="H169" s="56">
        <f>SUM(H163:H168)</f>
        <v/>
      </c>
      <c r="I169" s="56">
        <f>SUM(I163:I168)</f>
        <v/>
      </c>
      <c r="W169" s="52" t="n"/>
      <c r="X169" s="52" t="n"/>
      <c r="Y169" s="52" t="n"/>
    </row>
    <row r="170">
      <c r="W170" s="52" t="n"/>
      <c r="X170" s="52" t="n"/>
      <c r="Y170" s="52" t="n"/>
    </row>
    <row r="171">
      <c r="B171" t="inlineStr">
        <is>
          <t>AFTERHOURS UNCATEGORISED</t>
        </is>
      </c>
      <c r="W171" s="52" t="n"/>
      <c r="X171" s="52" t="n"/>
      <c r="Y171" s="52" t="n"/>
    </row>
    <row r="172">
      <c r="W172" s="52" t="n"/>
      <c r="X172" s="52" t="n"/>
      <c r="Y172" s="52" t="n"/>
    </row>
    <row r="173">
      <c r="W173" s="52" t="n"/>
      <c r="X173" s="52" t="n"/>
      <c r="Y173" s="52" t="n"/>
    </row>
    <row r="174">
      <c r="W174" s="52" t="n"/>
      <c r="X174" s="52" t="n"/>
      <c r="Y174" s="52" t="n"/>
    </row>
    <row r="175">
      <c r="W175" s="52" t="n"/>
      <c r="X175" s="52" t="n"/>
      <c r="Y175" s="52" t="n"/>
    </row>
    <row r="176">
      <c r="W176" s="52" t="n"/>
      <c r="X176" s="52" t="n"/>
      <c r="Y176" s="52" t="n"/>
    </row>
    <row r="177">
      <c r="W177" s="52" t="n"/>
      <c r="X177" s="52" t="n"/>
      <c r="Y177" s="52" t="n"/>
    </row>
    <row r="178">
      <c r="F178" s="56">
        <f>SUM(F172:F177)</f>
        <v/>
      </c>
      <c r="G178" s="56">
        <f>SUM(G172:G177)</f>
        <v/>
      </c>
      <c r="H178" s="56">
        <f>SUM(H172:H177)</f>
        <v/>
      </c>
      <c r="I178" s="56">
        <f>SUM(I172:I177)</f>
        <v/>
      </c>
    </row>
  </sheetData>
  <conditionalFormatting sqref="K29:U34">
    <cfRule type="cellIs" priority="1" operator="equal" dxfId="0">
      <formula>0</formula>
    </cfRule>
  </conditionalFormatting>
  <conditionalFormatting sqref="K39:U44">
    <cfRule type="cellIs" priority="2" operator="equal" dxfId="0">
      <formula>0</formula>
    </cfRule>
  </conditionalFormatting>
  <conditionalFormatting sqref="K48:U53">
    <cfRule type="cellIs" priority="3" operator="equal" dxfId="0">
      <formula>0</formula>
    </cfRule>
  </conditionalFormatting>
  <conditionalFormatting sqref="K57:U69">
    <cfRule type="cellIs" priority="4" operator="equal" dxfId="0">
      <formula>0</formula>
    </cfRule>
  </conditionalFormatting>
  <conditionalFormatting sqref="K73:U78">
    <cfRule type="cellIs" priority="5" operator="equal" dxfId="0">
      <formula>0</formula>
    </cfRule>
  </conditionalFormatting>
  <conditionalFormatting sqref="K82:U87">
    <cfRule type="cellIs" priority="6" operator="equal" dxfId="0">
      <formula>0</formula>
    </cfRule>
  </conditionalFormatting>
  <conditionalFormatting sqref="K91:U96">
    <cfRule type="cellIs" priority="7" operator="equal" dxfId="0">
      <formula>0</formula>
    </cfRule>
  </conditionalFormatting>
  <conditionalFormatting sqref="K100:U105">
    <cfRule type="cellIs" priority="8" operator="equal" dxfId="0">
      <formula>0</formula>
    </cfRule>
  </conditionalFormatting>
  <conditionalFormatting sqref="K109:U114">
    <cfRule type="cellIs" priority="9" operator="equal" dxfId="0">
      <formula>0</formula>
    </cfRule>
  </conditionalFormatting>
  <conditionalFormatting sqref="K118:U123">
    <cfRule type="cellIs" priority="10" operator="equal" dxfId="0">
      <formula>0</formula>
    </cfRule>
  </conditionalFormatting>
  <conditionalFormatting sqref="K127:U132">
    <cfRule type="cellIs" priority="11" operator="equal" dxfId="0">
      <formula>0</formula>
    </cfRule>
  </conditionalFormatting>
  <conditionalFormatting sqref="K136:U141">
    <cfRule type="cellIs" priority="12" operator="equal" dxfId="0">
      <formula>0</formula>
    </cfRule>
  </conditionalFormatting>
  <conditionalFormatting sqref="K145:U150">
    <cfRule type="cellIs" priority="13" operator="equal" dxfId="0">
      <formula>0</formula>
    </cfRule>
  </conditionalFormatting>
  <conditionalFormatting sqref="K154:U159">
    <cfRule type="cellIs" priority="14" operator="equal" dxfId="0">
      <formula>0</formula>
    </cfRule>
  </conditionalFormatting>
  <conditionalFormatting sqref="K163:U168">
    <cfRule type="cellIs" priority="15" operator="equal" dxfId="0">
      <formula>0</formula>
    </cfRule>
  </conditionalFormatting>
  <conditionalFormatting sqref="K172:U177">
    <cfRule type="cellIs" priority="16" operator="equal" dxfId="0">
      <formula>0</formula>
    </cfRule>
  </conditionalFormatting>
  <conditionalFormatting sqref="I29:I44">
    <cfRule type="expression" priority="17" dxfId="1">
      <formula>$K29="N"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3da813"/>
    <outlinePr summaryBelow="1" summaryRight="1"/>
    <pageSetUpPr/>
  </sheetPr>
  <dimension ref="A1:AA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WEEKLY COMMISSION</t>
        </is>
      </c>
      <c r="F1" s="2" t="inlineStr">
        <is>
          <t>WEEK ENDING</t>
        </is>
      </c>
      <c r="G1" s="2" t="inlineStr">
        <is>
          <t>30/11/2025</t>
        </is>
      </c>
    </row>
    <row r="2">
      <c r="K2" s="3" t="inlineStr">
        <is>
          <t>PHOTOS</t>
        </is>
      </c>
      <c r="L2" s="4" t="n"/>
      <c r="M2" s="4" t="n"/>
      <c r="N2" s="3" t="inlineStr">
        <is>
          <t>QUOTE</t>
        </is>
      </c>
      <c r="O2" s="4" t="n"/>
      <c r="P2" s="4" t="n"/>
      <c r="Q2" s="3" t="inlineStr">
        <is>
          <t>INVOICE</t>
        </is>
      </c>
      <c r="R2" s="4" t="n"/>
      <c r="S2" s="5" t="n"/>
      <c r="T2" s="5" t="n"/>
    </row>
    <row r="3">
      <c r="B3" s="3" t="inlineStr">
        <is>
          <t>BOOKED JOBS</t>
        </is>
      </c>
      <c r="C3" s="6">
        <f>B4+B5</f>
        <v/>
      </c>
      <c r="E3" s="3" t="inlineStr">
        <is>
          <t>WEEKLY TARGET</t>
        </is>
      </c>
      <c r="F3" s="4" t="n"/>
      <c r="G3" s="5" t="n"/>
      <c r="K3" s="7" t="inlineStr">
        <is>
          <t>BEFORE</t>
        </is>
      </c>
      <c r="L3" s="8" t="inlineStr">
        <is>
          <t>AFTER</t>
        </is>
      </c>
      <c r="M3" s="8" t="inlineStr">
        <is>
          <t>RECEIPT</t>
        </is>
      </c>
      <c r="N3" s="7" t="inlineStr">
        <is>
          <t>DESCRIPTION</t>
        </is>
      </c>
      <c r="O3" s="8" t="inlineStr">
        <is>
          <t>SIGNED</t>
        </is>
      </c>
      <c r="P3" s="8" t="inlineStr">
        <is>
          <t>EMAILED</t>
        </is>
      </c>
      <c r="Q3" s="7" t="inlineStr">
        <is>
          <t>DESCRIPTION</t>
        </is>
      </c>
      <c r="R3" s="8" t="inlineStr">
        <is>
          <t>SIGNED</t>
        </is>
      </c>
      <c r="S3" s="8" t="inlineStr">
        <is>
          <t>EMAILED</t>
        </is>
      </c>
      <c r="T3" s="9" t="inlineStr">
        <is>
          <t>5 Star Review</t>
        </is>
      </c>
    </row>
    <row r="4">
      <c r="B4" s="1" t="inlineStr">
        <is>
          <t>SUCCESSFUL</t>
        </is>
      </c>
      <c r="C4" s="10">
        <f>O11</f>
        <v/>
      </c>
      <c r="E4" s="11" t="inlineStr">
        <is>
          <t>Tier 1</t>
        </is>
      </c>
      <c r="F4" t="inlineStr">
        <is>
          <t>&lt;$25000</t>
        </is>
      </c>
      <c r="G4" s="12">
        <f>0.05</f>
        <v/>
      </c>
      <c r="J4" s="3" t="inlineStr">
        <is>
          <t>TAKEN</t>
        </is>
      </c>
      <c r="K4" s="13">
        <f>L46</f>
        <v/>
      </c>
      <c r="L4" s="13">
        <f>M46</f>
        <v/>
      </c>
      <c r="M4" s="13">
        <f>N46</f>
        <v/>
      </c>
      <c r="N4" s="13">
        <f>O46</f>
        <v/>
      </c>
      <c r="O4" s="13">
        <f>P46</f>
        <v/>
      </c>
      <c r="P4" s="13">
        <f>Q46</f>
        <v/>
      </c>
      <c r="Q4" s="13">
        <f>R46</f>
        <v/>
      </c>
      <c r="R4" s="13">
        <f>S46</f>
        <v/>
      </c>
      <c r="S4" s="13">
        <f>T46</f>
        <v/>
      </c>
      <c r="T4" s="14">
        <f>SUM(U29:U44) + SUM(U49:U54) + SUM(U83:U88) + SUM(U92:U97) + SUM(U110:U116) + SUM(U120:U125)</f>
        <v/>
      </c>
    </row>
    <row r="5">
      <c r="B5" s="1" t="inlineStr">
        <is>
          <t>UNSUCCESSFUL</t>
        </is>
      </c>
      <c r="C5" s="10">
        <f>O12</f>
        <v/>
      </c>
      <c r="E5" s="15" t="inlineStr">
        <is>
          <t>Tier 2</t>
        </is>
      </c>
      <c r="F5" s="16" t="inlineStr">
        <is>
          <t>&gt;=$25000</t>
        </is>
      </c>
      <c r="G5" s="17">
        <f>0.1</f>
        <v/>
      </c>
      <c r="J5" s="7" t="inlineStr">
        <is>
          <t>%</t>
        </is>
      </c>
      <c r="K5" s="18">
        <f>L46/L45</f>
        <v/>
      </c>
      <c r="L5" s="18">
        <f>M46/M45</f>
        <v/>
      </c>
      <c r="M5" s="18">
        <f>N46/N45</f>
        <v/>
      </c>
      <c r="N5" s="18">
        <f>O46/O45</f>
        <v/>
      </c>
      <c r="O5" s="18">
        <f>P46/P45</f>
        <v/>
      </c>
      <c r="P5" s="18">
        <f>Q46/Q45</f>
        <v/>
      </c>
      <c r="Q5" s="18">
        <f>R46/R45</f>
        <v/>
      </c>
      <c r="R5" s="18">
        <f>S46/S45</f>
        <v/>
      </c>
      <c r="S5" s="18">
        <f>T46/T45</f>
        <v/>
      </c>
      <c r="T5" s="19" t="n"/>
    </row>
    <row r="6">
      <c r="B6" s="1" t="inlineStr">
        <is>
          <t>SUCCESSFUL (%)</t>
        </is>
      </c>
      <c r="C6" s="20">
        <f>O13</f>
        <v/>
      </c>
    </row>
    <row r="7">
      <c r="C7" s="21" t="n"/>
      <c r="F7" s="3" t="inlineStr">
        <is>
          <t>ACTUAL</t>
        </is>
      </c>
      <c r="G7" s="6" t="inlineStr">
        <is>
          <t>POTENTIAL</t>
        </is>
      </c>
      <c r="H7" s="22" t="inlineStr">
        <is>
          <t>Exc. SUPER</t>
        </is>
      </c>
    </row>
    <row r="8">
      <c r="B8" s="7" t="inlineStr">
        <is>
          <t>AVERAGE SALE</t>
        </is>
      </c>
      <c r="C8" s="23">
        <f>O14</f>
        <v/>
      </c>
      <c r="E8" s="3" t="inlineStr">
        <is>
          <t>NET PROFIT</t>
        </is>
      </c>
      <c r="F8" s="24">
        <f>P10-R10</f>
        <v/>
      </c>
      <c r="G8" s="25">
        <f>SUM(I29:I44) + SUM(I83:I88) + SUM(I110:I116) + SUM(I138:I143)</f>
        <v/>
      </c>
      <c r="K8" s="3" t="inlineStr">
        <is>
          <t>DAILY NET PROFIT</t>
        </is>
      </c>
      <c r="L8" s="4" t="n"/>
      <c r="M8" s="4" t="n"/>
      <c r="N8" s="4" t="n"/>
      <c r="O8" s="4" t="n"/>
      <c r="P8" s="4" t="n"/>
      <c r="Q8" s="4" t="n"/>
      <c r="R8" s="26" t="inlineStr">
        <is>
          <t>WEEKDAY</t>
        </is>
      </c>
      <c r="S8" s="27" t="inlineStr">
        <is>
          <t>WEEKEND</t>
        </is>
      </c>
    </row>
    <row r="9">
      <c r="E9" s="13" t="inlineStr">
        <is>
          <t>UNLOCKED</t>
        </is>
      </c>
      <c r="F9" s="28">
        <f>IF(P10&gt;=25000,G5,G4)</f>
        <v/>
      </c>
      <c r="G9" s="29">
        <f>=IF(G8&gt;=25000,G5,G4)</f>
        <v/>
      </c>
      <c r="K9" s="3" t="inlineStr">
        <is>
          <t>MON</t>
        </is>
      </c>
      <c r="L9" s="30" t="inlineStr">
        <is>
          <t>TUE</t>
        </is>
      </c>
      <c r="M9" s="30" t="inlineStr">
        <is>
          <t>WED</t>
        </is>
      </c>
      <c r="N9" s="30" t="inlineStr">
        <is>
          <t>THU</t>
        </is>
      </c>
      <c r="O9" s="30" t="inlineStr">
        <is>
          <t>FRI</t>
        </is>
      </c>
      <c r="P9" s="30" t="inlineStr">
        <is>
          <t>Total</t>
        </is>
      </c>
      <c r="Q9" s="31" t="inlineStr">
        <is>
          <t>SAT</t>
        </is>
      </c>
      <c r="R9" s="26" t="inlineStr">
        <is>
          <t>Awaiting Payment</t>
        </is>
      </c>
      <c r="S9" s="27" t="inlineStr">
        <is>
          <t>Awaiting Payment</t>
        </is>
      </c>
    </row>
    <row r="10">
      <c r="E10" s="13" t="inlineStr">
        <is>
          <t>COMMISSION - PAY OUT</t>
        </is>
      </c>
      <c r="F10" s="32">
        <f>F8*F9</f>
        <v/>
      </c>
      <c r="G10" s="33">
        <f>G8*G9</f>
        <v/>
      </c>
      <c r="H10" s="34">
        <f>F10/1.12</f>
        <v/>
      </c>
      <c r="K10" s="35">
        <f>SUMIF(C29:C44, "24/11/2025", I29:I44) + SUMIF(C49:C54, "24/11/2025", I49:I54) + SUMIF(C83:C88, "24/11/2025", I83:I88) + SUMIF(C92:C97, "24/11/2025", I92:I97) + SUMIF(C110:C116, "24/11/2025", I110:I116) + SUMIF(C120:C125, "24/11/2025", I120:I125)</f>
        <v/>
      </c>
      <c r="L10" s="36">
        <f>SUMIF(C29:C44, "25/11/2025", I29:I44) + SUMIF(C49:C54, "25/11/2025", I49:I54) + SUMIF(C83:C88, "25/11/2025", I83:I88) + SUMIF(C92:C97, "25/11/2025", I92:I97) + SUMIF(C110:C116, "25/11/2025", I110:I116) + SUMIF(C120:C125, "25/11/2025", I120:I125)</f>
        <v/>
      </c>
      <c r="M10" s="36">
        <f>SUMIF(C29:C44, "26/11/2025", I29:I44) + SUMIF(C49:C54, "26/11/2025", I49:I54) + SUMIF(C83:C88, "26/11/2025", I83:I88) + SUMIF(C92:C97, "26/11/2025", I92:I97) + SUMIF(C110:C116, "26/11/2025", I110:I116) + SUMIF(C120:C125, "26/11/2025", I120:I125)</f>
        <v/>
      </c>
      <c r="N10" s="36">
        <f>SUMIF(C29:C44, "27/11/2025", I29:I44) + SUMIF(C49:C54, "27/11/2025", I49:I54) + SUMIF(C83:C88, "27/11/2025", I83:I88) + SUMIF(C92:C97, "27/11/2025", I92:I97) + SUMIF(C110:C116, "27/11/2025", I110:I116) + SUMIF(C120:C125, "27/11/2025", I120:I125)</f>
        <v/>
      </c>
      <c r="O10" s="36">
        <f>SUMIF(C29:C44, "28/11/2025", I29:I44) + SUMIF(C49:C54, "28/11/2025", I49:I54) + SUMIF(C83:C88, "28/11/2025", I83:I88) + SUMIF(C92:C97, "28/11/2025", I92:I97) + SUMIF(C110:C116, "28/11/2025", I110:I116) + SUMIF(C120:C125, "28/11/2025", I120:I125)</f>
        <v/>
      </c>
      <c r="P10" s="36">
        <f>SUM(J10:N10)</f>
        <v/>
      </c>
      <c r="Q10" s="37">
        <f>SUMIF(C29:C44, "29/11/2025", I29:I44) + SUMIF(C49:C54, "29/11/2025", I49:I54) + SUMIF(C83:C88, "29/11/2025", I83:I88) + SUMIF(C92:C97, "29/11/2025", I92:I97) + SUMIF(C110:C116, "29/11/2025", I110:I116) + SUMIF(C120:C125, "29/11/2025", I120:I125)</f>
        <v/>
      </c>
      <c r="R10" s="38">
        <f>SUM(I83:I88) + SUM(I110:I116)</f>
        <v/>
      </c>
      <c r="S10" s="39">
        <f>SUM(I92:I97) + SUM(I120:I125)</f>
        <v/>
      </c>
    </row>
    <row r="11">
      <c r="E11" s="13" t="inlineStr">
        <is>
          <t>EMERGENCY</t>
        </is>
      </c>
      <c r="F11" s="32">
        <f>P10</f>
        <v/>
      </c>
      <c r="G11" s="21" t="n"/>
      <c r="J11" t="inlineStr">
        <is>
          <t>Successful</t>
        </is>
      </c>
      <c r="K11">
        <f>COUNTIF(C29:C44, "24/11/2025") + COUNTIF(C49:C54, "24/11/2025") + COUNTIF(C83:C88, "24/11/2025") + COUNTIF(C92:C97, "24/11/2025") + COUNTIF(C110:C116, "24/11/2025") + COUNTIF(C120:C125, "24/11/2025")</f>
        <v/>
      </c>
      <c r="L11">
        <f>COUNTIF(C29:C44, "25/11/2025") + COUNTIF(C49:C54, "25/11/2025") + COUNTIF(C83:C88, "25/11/2025") + COUNTIF(C92:C97, "25/11/2025") + COUNTIF(C110:C116, "25/11/2025") + COUNTIF(C120:C125, "25/11/2025")</f>
        <v/>
      </c>
      <c r="M11">
        <f>COUNTIF(C29:C44, "26/11/2025") + COUNTIF(C49:C54, "26/11/2025") + COUNTIF(C83:C88, "26/11/2025") + COUNTIF(C92:C97, "26/11/2025") + COUNTIF(C110:C116, "26/11/2025") + COUNTIF(C120:C125, "26/11/2025")</f>
        <v/>
      </c>
      <c r="N11">
        <f>COUNTIF(C29:C44, "27/11/2025") + COUNTIF(C49:C54, "27/11/2025") + COUNTIF(C83:C88, "27/11/2025") + COUNTIF(C92:C97, "27/11/2025") + COUNTIF(C110:C116, "27/11/2025") + COUNTIF(C120:C125, "27/11/2025")</f>
        <v/>
      </c>
      <c r="O11">
        <f>COUNTIF(C29:C44, "28/11/2025") + COUNTIF(C49:C54, "28/11/2025") + COUNTIF(C83:C88, "28/11/2025") + COUNTIF(C92:C97, "28/11/2025") + COUNTIF(C110:C116, "28/11/2025") + COUNTIF(C120:C125, "28/11/2025")</f>
        <v/>
      </c>
      <c r="P11">
        <f>SUM(K11:O11)</f>
        <v/>
      </c>
      <c r="Q11">
        <f>COUNTIF(C29:C44, "29/11/2025") + COUNTIF(C49:C54, "29/11/2025") + COUNTIF(C83:C88, "29/11/2025") + COUNTIF(C92:C97, "29/11/2025") + COUNTIF(C110:C116, "29/11/2025") + COUNTIF(C120:C125, "29/11/2025")</f>
        <v/>
      </c>
    </row>
    <row r="12">
      <c r="E12" s="13" t="inlineStr">
        <is>
          <t>EMERGENCY - PAY OUT</t>
        </is>
      </c>
      <c r="F12" s="32">
        <f>F11*0.25</f>
        <v/>
      </c>
      <c r="G12" s="21" t="n"/>
      <c r="H12" s="34">
        <f>F12/1.12</f>
        <v/>
      </c>
      <c r="J12" t="inlineStr">
        <is>
          <t>Unsuccessful</t>
        </is>
      </c>
      <c r="K12">
        <f>COUNTIF(C138:C143, "24/11/2025") + COUNTIF(C147:C152, "24/11/2025")</f>
        <v/>
      </c>
      <c r="L12">
        <f>COUNTIF(C138:C143, "25/11/2025") + COUNTIF(C147:C152, "25/11/2025")</f>
        <v/>
      </c>
      <c r="M12">
        <f>COUNTIF(C138:C143, "26/11/2025") + COUNTIF(C147:C152, "26/11/2025")</f>
        <v/>
      </c>
      <c r="N12">
        <f>COUNTIF(C138:C143, "27/11/2025") + COUNTIF(C147:C152, "27/11/2025")</f>
        <v/>
      </c>
      <c r="O12">
        <f>COUNTIF(C138:C143, "28/11/2025") + COUNTIF(C147:C152, "28/11/2025")</f>
        <v/>
      </c>
      <c r="P12">
        <f>SUM(K12:O12)</f>
        <v/>
      </c>
      <c r="Q12">
        <f>COUNTIF(C138:C143, "29/11/2025") + COUNTIF(C147:C152, "29/11/2025")</f>
        <v/>
      </c>
    </row>
    <row r="13">
      <c r="E13" s="13" t="inlineStr">
        <is>
          <t>PREV. WEEK</t>
        </is>
      </c>
      <c r="F13" s="11" t="n">
        <v>0</v>
      </c>
      <c r="G13" s="40" t="n">
        <v>0</v>
      </c>
      <c r="J13" t="inlineStr">
        <is>
          <t>Success rate</t>
        </is>
      </c>
      <c r="K13" s="41">
        <f>K11/(K11+K12)</f>
        <v/>
      </c>
      <c r="L13" s="41">
        <f>L11/(L11+L12)</f>
        <v/>
      </c>
      <c r="M13" s="41">
        <f>M11/(M11+M12)</f>
        <v/>
      </c>
      <c r="N13" s="41">
        <f>N11/(N11+N12)</f>
        <v/>
      </c>
      <c r="O13" s="41">
        <f>O11/(O11+O12)</f>
        <v/>
      </c>
      <c r="P13" s="41">
        <f>P11/(P11+P12)</f>
        <v/>
      </c>
      <c r="Q13" s="41">
        <f>Q11/(Q11+Q12)</f>
        <v/>
      </c>
    </row>
    <row r="14">
      <c r="E14" s="7" t="inlineStr">
        <is>
          <t>PREV. WEEK - PAY OUT</t>
        </is>
      </c>
      <c r="F14" s="42">
        <f>F13*0.05</f>
        <v/>
      </c>
      <c r="G14" s="43">
        <f>=G13*0.05</f>
        <v/>
      </c>
      <c r="H14" s="34">
        <f>F14/1.12</f>
        <v/>
      </c>
      <c r="J14" t="inlineStr">
        <is>
          <t>Avg sale</t>
        </is>
      </c>
      <c r="K14" s="44">
        <f>K10/K11</f>
        <v/>
      </c>
      <c r="L14" s="44">
        <f>L10/L11</f>
        <v/>
      </c>
      <c r="M14" s="44">
        <f>M10/M11</f>
        <v/>
      </c>
      <c r="N14" s="44">
        <f>N10/N11</f>
        <v/>
      </c>
      <c r="O14" s="44">
        <f>O10/O11</f>
        <v/>
      </c>
      <c r="P14" s="44">
        <f>P10/P11</f>
        <v/>
      </c>
      <c r="Q14" s="44">
        <f>Q10/Q11</f>
        <v/>
      </c>
    </row>
    <row r="15">
      <c r="E15" s="45" t="inlineStr">
        <is>
          <t>5 Star Review</t>
        </is>
      </c>
      <c r="F15" s="32">
        <f>F16*50</f>
        <v/>
      </c>
    </row>
    <row r="16">
      <c r="E16" s="45" t="inlineStr">
        <is>
          <t>5 Star Notes</t>
        </is>
      </c>
      <c r="F16" s="11">
        <f>T4</f>
        <v/>
      </c>
      <c r="K16" s="46" t="inlineStr">
        <is>
          <t>Management Summary - SALES ONLY - COLUMN F</t>
        </is>
      </c>
      <c r="L16" s="47" t="n"/>
      <c r="M16" s="47" t="n"/>
      <c r="N16" s="47" t="n"/>
      <c r="O16" s="47" t="n"/>
      <c r="P16" s="47" t="n"/>
      <c r="Q16" s="47" t="n"/>
      <c r="R16" s="48" t="inlineStr">
        <is>
          <t>WEEKDAY</t>
        </is>
      </c>
      <c r="S16" s="49" t="inlineStr">
        <is>
          <t>WEEKEND</t>
        </is>
      </c>
    </row>
    <row r="17">
      <c r="K17" s="3" t="inlineStr">
        <is>
          <t>MON</t>
        </is>
      </c>
      <c r="L17" s="30" t="inlineStr">
        <is>
          <t>TUE</t>
        </is>
      </c>
      <c r="M17" s="30" t="inlineStr">
        <is>
          <t>WED</t>
        </is>
      </c>
      <c r="N17" s="30" t="inlineStr">
        <is>
          <t>THU</t>
        </is>
      </c>
      <c r="O17" s="30" t="inlineStr">
        <is>
          <t>FRI</t>
        </is>
      </c>
      <c r="P17" s="30" t="inlineStr">
        <is>
          <t>Total</t>
        </is>
      </c>
      <c r="Q17" s="31" t="inlineStr">
        <is>
          <t>SAT</t>
        </is>
      </c>
      <c r="R17" s="26" t="inlineStr">
        <is>
          <t>Awaiting Payment</t>
        </is>
      </c>
      <c r="S17" s="27" t="inlineStr">
        <is>
          <t>Awaiting Payment</t>
        </is>
      </c>
    </row>
    <row r="18">
      <c r="K18" s="35">
        <f>SUMIF(C29:C44, "24/11/2025", F29:F44) + SUMIF(C49:C54, "24/11/2025", F49:F54) + SUMIF(C83:C88, "24/11/2025", F83:F88) + SUMIF(C92:C97, "24/11/2025", F92:F97) + SUMIF(C110:C116, "24/11/2025", F110:F116) + SUMIF(C120:C125, "24/11/2025", F120:F125)</f>
        <v/>
      </c>
      <c r="L18" s="36">
        <f>SUMIF(C29:C44, "25/11/2025", F29:F44) + SUMIF(C49:C54, "25/11/2025", F49:F54) + SUMIF(C83:C88, "25/11/2025", F83:F88) + SUMIF(C92:C97, "25/11/2025", F92:F97) + SUMIF(C110:C116, "25/11/2025", F110:F116) + SUMIF(C120:C125, "25/11/2025", F120:F125)</f>
        <v/>
      </c>
      <c r="M18" s="36">
        <f>SUMIF(C29:C44, "26/11/2025", F29:F44) + SUMIF(C49:C54, "26/11/2025", F49:F54) + SUMIF(C83:C88, "26/11/2025", F83:F88) + SUMIF(C92:C97, "26/11/2025", F92:F97) + SUMIF(C110:C116, "26/11/2025", F110:F116) + SUMIF(C120:C125, "26/11/2025", F120:F125)</f>
        <v/>
      </c>
      <c r="N18" s="36">
        <f>SUMIF(C29:C44, "27/11/2025", F29:F44) + SUMIF(C49:C54, "27/11/2025", F49:F54) + SUMIF(C83:C88, "27/11/2025", F83:F88) + SUMIF(C92:C97, "27/11/2025", F92:F97) + SUMIF(C110:C116, "27/11/2025", F110:F116) + SUMIF(C120:C125, "27/11/2025", F120:F125)</f>
        <v/>
      </c>
      <c r="O18" s="36">
        <f>SUMIF(C29:C44, "28/11/2025", F29:F44) + SUMIF(C49:C54, "28/11/2025", F49:F54) + SUMIF(C83:C88, "28/11/2025", F83:F88) + SUMIF(C92:C97, "28/11/2025", F92:F97) + SUMIF(C110:C116, "28/11/2025", F110:F116) + SUMIF(C120:C125, "28/11/2025", F120:F125)</f>
        <v/>
      </c>
      <c r="P18" s="36">
        <f>SUM(K18:O18)</f>
        <v/>
      </c>
      <c r="Q18" s="37">
        <f>SUMIF(C29:C44, "29/11/2025", F29:F44) + SUMIF(C49:C54, "29/11/2025", F49:F54) + SUMIF(C83:C88, "29/11/2025", F83:F88) + SUMIF(C92:C97, "29/11/2025", F92:F97) + SUMIF(C110:C116, "29/11/2025", F110:F116) + SUMIF(C120:C125, "29/11/2025", F120:F125)</f>
        <v/>
      </c>
      <c r="R18" s="38">
        <f>SUM(F83:F88) + SUM(F110:F116)</f>
        <v/>
      </c>
      <c r="S18" s="39">
        <f>SUM(F92:F97) + SUM(F120:F125)</f>
        <v/>
      </c>
    </row>
    <row r="19">
      <c r="J19" t="inlineStr">
        <is>
          <t>Successful</t>
        </is>
      </c>
      <c r="K19">
        <f>K11</f>
        <v/>
      </c>
      <c r="L19">
        <f>L11</f>
        <v/>
      </c>
      <c r="M19">
        <f>M11</f>
        <v/>
      </c>
      <c r="N19">
        <f>N11</f>
        <v/>
      </c>
      <c r="O19">
        <f>O11</f>
        <v/>
      </c>
      <c r="P19">
        <f>P11</f>
        <v/>
      </c>
      <c r="Q19">
        <f>Q11</f>
        <v/>
      </c>
    </row>
    <row r="20">
      <c r="J20" t="inlineStr">
        <is>
          <t>Unsuccessful</t>
        </is>
      </c>
      <c r="K20">
        <f>K12</f>
        <v/>
      </c>
      <c r="L20">
        <f>L12</f>
        <v/>
      </c>
      <c r="M20">
        <f>M12</f>
        <v/>
      </c>
      <c r="N20">
        <f>N12</f>
        <v/>
      </c>
      <c r="O20">
        <f>O12</f>
        <v/>
      </c>
      <c r="P20">
        <f>P12</f>
        <v/>
      </c>
      <c r="Q20">
        <f>Q12</f>
        <v/>
      </c>
    </row>
    <row r="21">
      <c r="J21" t="inlineStr">
        <is>
          <t>Success rate</t>
        </is>
      </c>
      <c r="K21" s="41">
        <f>K13</f>
        <v/>
      </c>
      <c r="L21" s="41">
        <f>L13</f>
        <v/>
      </c>
      <c r="M21" s="41">
        <f>M13</f>
        <v/>
      </c>
      <c r="N21" s="41">
        <f>N13</f>
        <v/>
      </c>
      <c r="O21" s="41">
        <f>O13</f>
        <v/>
      </c>
      <c r="P21" s="41">
        <f>P13</f>
        <v/>
      </c>
      <c r="Q21" s="41">
        <f>Q13</f>
        <v/>
      </c>
    </row>
    <row r="22">
      <c r="J22" t="inlineStr">
        <is>
          <t>Avg sale</t>
        </is>
      </c>
      <c r="K22" s="44">
        <f>K18/K19</f>
        <v/>
      </c>
      <c r="L22" s="44">
        <f>L18/L19</f>
        <v/>
      </c>
      <c r="M22" s="44">
        <f>M18/M19</f>
        <v/>
      </c>
      <c r="N22" s="44">
        <f>N18/N19</f>
        <v/>
      </c>
      <c r="O22" s="44">
        <f>O18/O19</f>
        <v/>
      </c>
      <c r="P22" s="44">
        <f>P18/P19</f>
        <v/>
      </c>
      <c r="Q22" s="44">
        <f>Q18/Q19</f>
        <v/>
      </c>
    </row>
    <row r="26">
      <c r="B26" s="50" t="inlineStr">
        <is>
          <t>JOB DETAILS</t>
        </is>
      </c>
      <c r="C26" s="4" t="n"/>
      <c r="D26" s="4" t="n"/>
      <c r="E26" s="4" t="n"/>
      <c r="F26" s="50" t="inlineStr">
        <is>
          <t>JOB AMOUNT</t>
        </is>
      </c>
      <c r="G26" s="4" t="n"/>
      <c r="H26" s="4" t="n"/>
      <c r="I26" s="4" t="n"/>
      <c r="J26" s="4" t="n"/>
      <c r="K26" s="50" t="n"/>
      <c r="L26" s="50" t="inlineStr">
        <is>
          <t>PHOTOS</t>
        </is>
      </c>
      <c r="M26" s="4" t="n"/>
      <c r="N26" s="4" t="n"/>
      <c r="O26" s="50" t="inlineStr">
        <is>
          <t>QUOTE</t>
        </is>
      </c>
      <c r="P26" s="4" t="n"/>
      <c r="Q26" s="4" t="n"/>
      <c r="R26" s="50" t="inlineStr">
        <is>
          <t>INVOICE</t>
        </is>
      </c>
      <c r="S26" s="4" t="n"/>
      <c r="T26" s="4" t="n"/>
      <c r="U26" s="4" t="n"/>
      <c r="V26" s="5" t="inlineStr">
        <is>
          <t>NOTES</t>
        </is>
      </c>
    </row>
    <row r="27">
      <c r="B27" s="15" t="inlineStr">
        <is>
          <t>JOB STATUS</t>
        </is>
      </c>
      <c r="C27" s="16" t="inlineStr">
        <is>
          <t>DATE</t>
        </is>
      </c>
      <c r="D27" s="16" t="inlineStr">
        <is>
          <t>JOB #</t>
        </is>
      </c>
      <c r="E27" s="51" t="inlineStr">
        <is>
          <t>SUBURB</t>
        </is>
      </c>
      <c r="F27" s="16" t="inlineStr">
        <is>
          <t>AMOUNT EXC. GST</t>
        </is>
      </c>
      <c r="G27" s="16" t="inlineStr">
        <is>
          <t>MATERIALS</t>
        </is>
      </c>
      <c r="H27" s="16" t="inlineStr">
        <is>
          <t>MERCHANT FEES</t>
        </is>
      </c>
      <c r="I27" s="16" t="inlineStr">
        <is>
          <t>NET PROFIT</t>
        </is>
      </c>
      <c r="J27" s="51" t="inlineStr">
        <is>
          <t>PAID</t>
        </is>
      </c>
      <c r="K27" s="51" t="inlineStr">
        <is>
          <t>DOC CHECK DONE</t>
        </is>
      </c>
      <c r="L27" s="16" t="inlineStr">
        <is>
          <t>BEFORE</t>
        </is>
      </c>
      <c r="M27" s="16" t="inlineStr">
        <is>
          <t>AFTER</t>
        </is>
      </c>
      <c r="N27" s="51" t="inlineStr">
        <is>
          <t>RECEIPT</t>
        </is>
      </c>
      <c r="O27" s="16" t="inlineStr">
        <is>
          <t>DESCRIPTION</t>
        </is>
      </c>
      <c r="P27" s="16" t="inlineStr">
        <is>
          <t>SIGNED</t>
        </is>
      </c>
      <c r="Q27" s="51" t="inlineStr">
        <is>
          <t>EMAILED</t>
        </is>
      </c>
      <c r="R27" s="16" t="inlineStr">
        <is>
          <t>DESCRIPTION</t>
        </is>
      </c>
      <c r="S27" s="16" t="inlineStr">
        <is>
          <t>SIGNED</t>
        </is>
      </c>
      <c r="T27" s="51" t="inlineStr">
        <is>
          <t>EMAILED</t>
        </is>
      </c>
      <c r="U27" s="16" t="inlineStr">
        <is>
          <t>5 Star Review</t>
        </is>
      </c>
      <c r="V27" s="51" t="n"/>
      <c r="W27" s="52" t="inlineStr">
        <is>
          <t>EFTPOS</t>
        </is>
      </c>
      <c r="X27" s="52" t="inlineStr">
        <is>
          <t>CASH</t>
        </is>
      </c>
      <c r="Y27" s="52" t="inlineStr">
        <is>
          <t>Payment Plan</t>
        </is>
      </c>
    </row>
    <row r="28">
      <c r="B28" t="inlineStr">
        <is>
          <t>COMPLETED &amp; PAID JOBS</t>
        </is>
      </c>
      <c r="W28" s="52" t="n"/>
      <c r="X28" s="52" t="n"/>
      <c r="Y28" s="52" t="n"/>
    </row>
    <row r="29">
      <c r="B29" t="n">
        <v>1</v>
      </c>
      <c r="C29" t="inlineStr">
        <is>
          <t>24/11/2025</t>
        </is>
      </c>
      <c r="D29" t="n">
        <v>100130</v>
      </c>
      <c r="E29" t="inlineStr">
        <is>
          <t>Surrey Hills</t>
        </is>
      </c>
      <c r="F29" s="44" t="n">
        <v>2911.99</v>
      </c>
      <c r="G29" s="44" t="n">
        <v>582.398</v>
      </c>
      <c r="I29" s="44">
        <f>F29-G29-H29</f>
        <v/>
      </c>
      <c r="J29" t="inlineStr">
        <is>
          <t>Credit Card</t>
        </is>
      </c>
      <c r="K29" s="53">
        <f>IF(OR(L29=0, M29=0, N29=0, O29=0, P29=0, Q29=0, R29=0, S29=0, T29=0), "N","Y")</f>
        <v/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W29" s="54">
        <f>3203.19</f>
        <v/>
      </c>
      <c r="X29" s="52" t="n"/>
      <c r="Y29" s="52" t="n"/>
      <c r="Z29" s="55">
        <f>ROUND(F29*1.1,2)</f>
        <v/>
      </c>
      <c r="AA29" s="55">
        <f>ROUND(Z29 - W29 - X29 - Y29,2)</f>
        <v/>
      </c>
    </row>
    <row r="30">
      <c r="B30" t="n">
        <v>2</v>
      </c>
      <c r="C30" t="inlineStr">
        <is>
          <t>24/11/2025</t>
        </is>
      </c>
      <c r="D30" t="n">
        <v>100242</v>
      </c>
      <c r="E30" t="inlineStr">
        <is>
          <t>Ringwood North</t>
        </is>
      </c>
      <c r="F30" s="44" t="n">
        <v>2614.27</v>
      </c>
      <c r="G30" s="44" t="n">
        <v>522.854</v>
      </c>
      <c r="I30" s="44">
        <f>F30-G30-H30</f>
        <v/>
      </c>
      <c r="J30" t="inlineStr">
        <is>
          <t>Credit Card</t>
        </is>
      </c>
      <c r="K30" s="53">
        <f>IF(OR(L30=0, M30=0, N30=0, O30=0, P30=0, Q30=0, R30=0, S30=0, T30=0), "N","Y")</f>
        <v/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W30" s="54">
        <f>203.50+2875.70</f>
        <v/>
      </c>
      <c r="X30" s="52" t="n"/>
      <c r="Y30" s="52" t="n"/>
      <c r="Z30" s="55">
        <f>ROUND(F30*1.1,2)</f>
        <v/>
      </c>
      <c r="AA30" s="55">
        <f>ROUND(Z30 - W30 - X30 - Y30,2)</f>
        <v/>
      </c>
    </row>
    <row r="31">
      <c r="B31" t="n">
        <v>3</v>
      </c>
      <c r="C31" t="inlineStr">
        <is>
          <t>24/11/2025</t>
        </is>
      </c>
      <c r="D31" t="n">
        <v>100215</v>
      </c>
      <c r="E31" t="inlineStr">
        <is>
          <t>Ferntree Gully</t>
        </is>
      </c>
      <c r="F31" s="44" t="n">
        <v>728.67</v>
      </c>
      <c r="G31" s="44" t="n">
        <v>145.734</v>
      </c>
      <c r="I31" s="44">
        <f>F31-G31-H31</f>
        <v/>
      </c>
      <c r="J31" t="inlineStr">
        <is>
          <t>Credit Card</t>
        </is>
      </c>
      <c r="K31" s="53">
        <f>IF(OR(L31=0, M31=0, N31=0, O31=0, P31=0, Q31=0, R31=0, S31=0, T31=0), "N","Y")</f>
        <v/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W31" s="54">
        <f>801.54</f>
        <v/>
      </c>
      <c r="X31" s="52" t="n"/>
      <c r="Y31" s="52" t="n"/>
      <c r="Z31" s="55">
        <f>ROUND(F31*1.1,2)</f>
        <v/>
      </c>
      <c r="AA31" s="55">
        <f>ROUND(Z31 - W31 - X31 - Y31,2)</f>
        <v/>
      </c>
    </row>
    <row r="32">
      <c r="B32" t="n">
        <v>4</v>
      </c>
      <c r="C32" t="inlineStr">
        <is>
          <t>25/11/2025</t>
        </is>
      </c>
      <c r="D32" t="n">
        <v>100243</v>
      </c>
      <c r="E32" t="inlineStr">
        <is>
          <t>Wheelers Hill</t>
        </is>
      </c>
      <c r="F32" s="44" t="n">
        <v>2234.74</v>
      </c>
      <c r="G32" s="44" t="n">
        <v>446.948</v>
      </c>
      <c r="I32" s="44">
        <f>F32-G32-H32</f>
        <v/>
      </c>
      <c r="J32" t="inlineStr">
        <is>
          <t>Credit Card</t>
        </is>
      </c>
      <c r="K32" s="53">
        <f>IF(OR(L32=0, M32=0, N32=0, O32=0, P32=0, Q32=0, R32=0, S32=0, T32=0), "N","Y")</f>
        <v/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W32" s="54">
        <f>2458.21</f>
        <v/>
      </c>
      <c r="X32" s="52" t="n"/>
      <c r="Y32" s="52" t="n"/>
      <c r="Z32" s="55">
        <f>ROUND(F32*1.1,2)</f>
        <v/>
      </c>
      <c r="AA32" s="55">
        <f>ROUND(Z32 - W32 - X32 - Y32,2)</f>
        <v/>
      </c>
    </row>
    <row r="33">
      <c r="B33" t="n">
        <v>5</v>
      </c>
      <c r="C33" t="inlineStr">
        <is>
          <t>25/11/2025</t>
        </is>
      </c>
      <c r="D33" t="n">
        <v>100255</v>
      </c>
      <c r="E33" t="inlineStr">
        <is>
          <t>Mooroolbark</t>
        </is>
      </c>
      <c r="F33" s="44" t="n">
        <v>784.78</v>
      </c>
      <c r="G33" s="44" t="n">
        <v>156.956</v>
      </c>
      <c r="I33" s="44">
        <f>F33-G33-H33</f>
        <v/>
      </c>
      <c r="J33" t="inlineStr">
        <is>
          <t>Credit Card</t>
        </is>
      </c>
      <c r="K33" s="53">
        <f>IF(OR(L33=0, M33=0, N33=0, O33=0, P33=0, Q33=0, R33=0, S33=0, T33=0), "N","Y")</f>
        <v/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W33" s="54">
        <f>863.26</f>
        <v/>
      </c>
      <c r="X33" s="52" t="n"/>
      <c r="Y33" s="52" t="n"/>
      <c r="Z33" s="55">
        <f>ROUND(F33*1.1,2)</f>
        <v/>
      </c>
      <c r="AA33" s="55">
        <f>ROUND(Z33 - W33 - X33 - Y33,2)</f>
        <v/>
      </c>
    </row>
    <row r="34">
      <c r="B34" t="n">
        <v>6</v>
      </c>
      <c r="C34" t="inlineStr">
        <is>
          <t>25/11/2025</t>
        </is>
      </c>
      <c r="D34" t="n">
        <v>100265</v>
      </c>
      <c r="E34" t="inlineStr">
        <is>
          <t>Ringwood East</t>
        </is>
      </c>
      <c r="F34" s="44" t="n">
        <v>621.67</v>
      </c>
      <c r="G34" s="44" t="n">
        <v>124.334</v>
      </c>
      <c r="I34" s="44">
        <f>F34-G34-H34</f>
        <v/>
      </c>
      <c r="J34" t="inlineStr">
        <is>
          <t>Credit Card</t>
        </is>
      </c>
      <c r="K34" s="53">
        <f>IF(OR(L34=0, M34=0, N34=0, O34=0, P34=0, Q34=0, R34=0, S34=0, T34=0), "N","Y")</f>
        <v/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W34" s="54">
        <f>683.84</f>
        <v/>
      </c>
      <c r="X34" s="52" t="n"/>
      <c r="Y34" s="52" t="n"/>
      <c r="Z34" s="55">
        <f>ROUND(F34*1.1,2)</f>
        <v/>
      </c>
      <c r="AA34" s="55">
        <f>ROUND(Z34 - W34 - X34 - Y34,2)</f>
        <v/>
      </c>
    </row>
    <row r="35">
      <c r="B35" t="n">
        <v>7</v>
      </c>
      <c r="C35" t="inlineStr">
        <is>
          <t>25/11/2025</t>
        </is>
      </c>
      <c r="D35" t="n">
        <v>100264</v>
      </c>
      <c r="E35" t="inlineStr">
        <is>
          <t>Glen Iris</t>
        </is>
      </c>
      <c r="F35" s="44" t="n">
        <v>1471.67</v>
      </c>
      <c r="G35" s="44" t="n">
        <v>294.334</v>
      </c>
      <c r="I35" s="44">
        <f>F35-G35-H35</f>
        <v/>
      </c>
      <c r="J35" t="inlineStr">
        <is>
          <t>EFT/Bank Transfer</t>
        </is>
      </c>
      <c r="K35" s="53">
        <f>IF(OR(L35=0, M35=0, N35=0, O35=0, P35=0, Q35=0, R35=0, S35=0, T35=0), "N","Y")</f>
        <v/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W35" s="54">
        <f>1618.84</f>
        <v/>
      </c>
      <c r="X35" s="52" t="n"/>
      <c r="Y35" s="52" t="n"/>
      <c r="Z35" s="55">
        <f>ROUND(F35*1.1,2)</f>
        <v/>
      </c>
      <c r="AA35" s="55">
        <f>ROUND(Z35 - W35 - X35 - Y35,2)</f>
        <v/>
      </c>
    </row>
    <row r="36">
      <c r="B36" t="n">
        <v>8</v>
      </c>
      <c r="C36" t="inlineStr">
        <is>
          <t>26/11/2025</t>
        </is>
      </c>
      <c r="D36" t="n">
        <v>100302</v>
      </c>
      <c r="E36" t="inlineStr">
        <is>
          <t>Sandringham</t>
        </is>
      </c>
      <c r="F36" s="44" t="n">
        <v>1337.64</v>
      </c>
      <c r="G36" s="44" t="n">
        <v>267.528</v>
      </c>
      <c r="I36" s="44">
        <f>F36-G36-H36</f>
        <v/>
      </c>
      <c r="J36" t="inlineStr">
        <is>
          <t>Credit Card</t>
        </is>
      </c>
      <c r="K36" s="53">
        <f>IF(OR(L36=0, M36=0, N36=0, O36=0, P36=0, Q36=0, R36=0, S36=0, T36=0), "N","Y")</f>
        <v/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W36" s="54">
        <f>1471.40</f>
        <v/>
      </c>
      <c r="X36" s="52" t="n"/>
      <c r="Y36" s="52" t="n"/>
      <c r="Z36" s="55">
        <f>ROUND(F36*1.1,2)</f>
        <v/>
      </c>
      <c r="AA36" s="55">
        <f>ROUND(Z36 - W36 - X36 - Y36,2)</f>
        <v/>
      </c>
    </row>
    <row r="37">
      <c r="B37" t="n">
        <v>9</v>
      </c>
      <c r="C37" t="inlineStr">
        <is>
          <t>26/11/2025</t>
        </is>
      </c>
      <c r="D37" t="n">
        <v>100325</v>
      </c>
      <c r="E37" t="inlineStr">
        <is>
          <t>Balwyn</t>
        </is>
      </c>
      <c r="F37" s="44" t="n">
        <v>2986.98</v>
      </c>
      <c r="G37" s="44" t="n">
        <v>597.3960000000001</v>
      </c>
      <c r="I37" s="44">
        <f>F37-G37-H37</f>
        <v/>
      </c>
      <c r="J37" t="inlineStr">
        <is>
          <t>Credit Card</t>
        </is>
      </c>
      <c r="K37" s="53">
        <f>IF(OR(L37=0, M37=0, N37=0, O37=0, P37=0, Q37=0, R37=0, S37=0, T37=0), "N","Y")</f>
        <v/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W37" s="54">
        <f>3285.68</f>
        <v/>
      </c>
      <c r="X37" s="52" t="n"/>
      <c r="Y37" s="52" t="n"/>
      <c r="Z37" s="55">
        <f>ROUND(F37*1.1,2)</f>
        <v/>
      </c>
      <c r="AA37" s="55">
        <f>ROUND(Z37 - W37 - X37 - Y37,2)</f>
        <v/>
      </c>
    </row>
    <row r="38">
      <c r="B38" t="n">
        <v>10</v>
      </c>
      <c r="C38" t="inlineStr">
        <is>
          <t>27/11/2025</t>
        </is>
      </c>
      <c r="D38" t="n">
        <v>100336</v>
      </c>
      <c r="E38" t="inlineStr">
        <is>
          <t>Ringwood East</t>
        </is>
      </c>
      <c r="F38" s="44" t="n">
        <v>1244.39</v>
      </c>
      <c r="G38" s="44" t="n">
        <v>248.878</v>
      </c>
      <c r="I38" s="44">
        <f>F38-G38-H38</f>
        <v/>
      </c>
      <c r="J38" t="inlineStr">
        <is>
          <t>Credit Card</t>
        </is>
      </c>
      <c r="K38" s="53">
        <f>IF(OR(L38=0, M38=0, N38=0, O38=0, P38=0, Q38=0, R38=0, S38=0, T38=0), "N","Y")</f>
        <v/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W38" s="54">
        <f>1368.83</f>
        <v/>
      </c>
      <c r="X38" s="52" t="n"/>
      <c r="Y38" s="52" t="n"/>
      <c r="Z38" s="55">
        <f>ROUND(F38*1.1,2)</f>
        <v/>
      </c>
      <c r="AA38" s="55">
        <f>ROUND(Z38 - W38 - X38 - Y38,2)</f>
        <v/>
      </c>
    </row>
    <row r="39">
      <c r="B39" t="n">
        <v>11</v>
      </c>
      <c r="C39" t="inlineStr">
        <is>
          <t>27/11/2025</t>
        </is>
      </c>
      <c r="D39" t="n">
        <v>100352</v>
      </c>
      <c r="E39" t="inlineStr">
        <is>
          <t>Williamstown</t>
        </is>
      </c>
      <c r="F39" s="44" t="n">
        <v>2214.27</v>
      </c>
      <c r="G39" s="44" t="n">
        <v>442.854</v>
      </c>
      <c r="I39" s="44">
        <f>F39-G39-H39</f>
        <v/>
      </c>
      <c r="J39" t="inlineStr">
        <is>
          <t>Credit Card</t>
        </is>
      </c>
      <c r="K39" s="53">
        <f>IF(OR(L39=0, M39=0, N39=0, O39=0, P39=0, Q39=0, R39=0, S39=0, T39=0), "N","Y")</f>
        <v/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W39" s="54">
        <f>2192.70+243.00</f>
        <v/>
      </c>
      <c r="X39" s="52" t="n"/>
      <c r="Y39" s="52" t="n"/>
      <c r="Z39" s="55">
        <f>ROUND(F39*1.1,2)</f>
        <v/>
      </c>
      <c r="AA39" s="55">
        <f>ROUND(Z39 - W39 - X39 - Y39,2)</f>
        <v/>
      </c>
    </row>
    <row r="40">
      <c r="W40" s="52" t="n"/>
      <c r="X40" s="52" t="n"/>
      <c r="Y40" s="52" t="n"/>
    </row>
    <row r="41">
      <c r="W41" s="52" t="n"/>
      <c r="X41" s="52" t="n"/>
      <c r="Y41" s="52" t="n"/>
    </row>
    <row r="42">
      <c r="W42" s="52" t="n"/>
      <c r="X42" s="52" t="n"/>
      <c r="Y42" s="52" t="n"/>
    </row>
    <row r="43">
      <c r="W43" s="52" t="n"/>
      <c r="X43" s="52" t="n"/>
      <c r="Y43" s="52" t="n"/>
    </row>
    <row r="44">
      <c r="W44" s="52" t="n"/>
      <c r="X44" s="52" t="n"/>
      <c r="Y44" s="52" t="n"/>
    </row>
    <row r="45">
      <c r="F45" s="56">
        <f>SUM(F29:F44)</f>
        <v/>
      </c>
      <c r="G45" s="56">
        <f>SUM(G29:G44)</f>
        <v/>
      </c>
      <c r="H45" s="56">
        <f>SUM(H29:H44)</f>
        <v/>
      </c>
      <c r="I45" s="56">
        <f>SUM(I29:I44)</f>
        <v/>
      </c>
      <c r="L45">
        <f>COUNT(L29:L44)</f>
        <v/>
      </c>
      <c r="M45">
        <f>COUNT(M29:M44)</f>
        <v/>
      </c>
      <c r="N45">
        <f>COUNT(N29:N44)</f>
        <v/>
      </c>
      <c r="O45">
        <f>COUNT(O29:O44)</f>
        <v/>
      </c>
      <c r="P45">
        <f>COUNT(P29:P44)</f>
        <v/>
      </c>
      <c r="Q45">
        <f>COUNT(Q29:Q44)</f>
        <v/>
      </c>
      <c r="R45">
        <f>COUNT(R29:R44)</f>
        <v/>
      </c>
      <c r="S45">
        <f>COUNT(S29:S44)</f>
        <v/>
      </c>
      <c r="T45">
        <f>COUNT(T29:T44)</f>
        <v/>
      </c>
      <c r="U45">
        <f>COUNT(U29:U44)</f>
        <v/>
      </c>
      <c r="W45" s="52" t="n"/>
      <c r="X45" s="52" t="n"/>
      <c r="Y45" s="52" t="n"/>
    </row>
    <row r="46">
      <c r="L46">
        <f>SUM(L29:L44)</f>
        <v/>
      </c>
      <c r="M46">
        <f>SUM(M29:M44)</f>
        <v/>
      </c>
      <c r="N46">
        <f>SUM(N29:N44)</f>
        <v/>
      </c>
      <c r="O46">
        <f>SUM(O29:O44)</f>
        <v/>
      </c>
      <c r="P46">
        <f>SUM(P29:P44)</f>
        <v/>
      </c>
      <c r="Q46">
        <f>SUM(Q29:Q44)</f>
        <v/>
      </c>
      <c r="R46">
        <f>SUM(R29:R44)</f>
        <v/>
      </c>
      <c r="S46">
        <f>SUM(S29:S44)</f>
        <v/>
      </c>
      <c r="T46">
        <f>SUM(T29:T44)</f>
        <v/>
      </c>
      <c r="U46">
        <f>SUM(U29:U44)</f>
        <v/>
      </c>
      <c r="W46" s="52" t="n"/>
      <c r="X46" s="52" t="n"/>
      <c r="Y46" s="52" t="n"/>
    </row>
    <row r="47">
      <c r="W47" s="52" t="n"/>
      <c r="X47" s="52" t="n"/>
      <c r="Y47" s="52" t="n"/>
    </row>
    <row r="48">
      <c r="B48" t="inlineStr">
        <is>
          <t>WEEKEND COMPLETED &amp; PAID JOBS</t>
        </is>
      </c>
      <c r="W48" s="52" t="n"/>
      <c r="X48" s="52" t="n"/>
      <c r="Y48" s="52" t="n"/>
    </row>
    <row r="49">
      <c r="W49" s="52" t="n"/>
      <c r="X49" s="52" t="n"/>
      <c r="Y49" s="52" t="n"/>
    </row>
    <row r="50">
      <c r="W50" s="52" t="n"/>
      <c r="X50" s="52" t="n"/>
      <c r="Y50" s="52" t="n"/>
    </row>
    <row r="51">
      <c r="W51" s="52" t="n"/>
      <c r="X51" s="52" t="n"/>
      <c r="Y51" s="52" t="n"/>
    </row>
    <row r="52">
      <c r="W52" s="52" t="n"/>
      <c r="X52" s="52" t="n"/>
      <c r="Y52" s="52" t="n"/>
    </row>
    <row r="53">
      <c r="W53" s="52" t="n"/>
      <c r="X53" s="52" t="n"/>
      <c r="Y53" s="52" t="n"/>
    </row>
    <row r="54">
      <c r="W54" s="52" t="n"/>
      <c r="X54" s="52" t="n"/>
      <c r="Y54" s="52" t="n"/>
    </row>
    <row r="55">
      <c r="F55" s="56">
        <f>SUM(F49:F54)</f>
        <v/>
      </c>
      <c r="G55" s="56">
        <f>SUM(G49:G54)</f>
        <v/>
      </c>
      <c r="H55" s="56">
        <f>SUM(H49:H54)</f>
        <v/>
      </c>
      <c r="I55" s="56">
        <f>SUM(I49:I54)</f>
        <v/>
      </c>
      <c r="W55" s="52" t="n"/>
      <c r="X55" s="52" t="n"/>
      <c r="Y55" s="52" t="n"/>
    </row>
    <row r="56">
      <c r="W56" s="52" t="n"/>
      <c r="X56" s="52" t="n"/>
      <c r="Y56" s="52" t="n"/>
    </row>
    <row r="57">
      <c r="B57" t="inlineStr">
        <is>
          <t>AFTERHOURS COMPLETED &amp; PAID JOBS</t>
        </is>
      </c>
      <c r="W57" s="52" t="n"/>
      <c r="X57" s="52" t="n"/>
      <c r="Y57" s="52" t="n"/>
    </row>
    <row r="58">
      <c r="W58" s="52" t="n"/>
      <c r="X58" s="52" t="n"/>
      <c r="Y58" s="52" t="n"/>
    </row>
    <row r="59">
      <c r="W59" s="52" t="n"/>
      <c r="X59" s="52" t="n"/>
      <c r="Y59" s="52" t="n"/>
    </row>
    <row r="60">
      <c r="W60" s="52" t="n"/>
      <c r="X60" s="52" t="n"/>
      <c r="Y60" s="52" t="n"/>
    </row>
    <row r="61">
      <c r="W61" s="52" t="n"/>
      <c r="X61" s="52" t="n"/>
      <c r="Y61" s="52" t="n"/>
    </row>
    <row r="62">
      <c r="W62" s="52" t="n"/>
      <c r="X62" s="52" t="n"/>
      <c r="Y62" s="52" t="n"/>
    </row>
    <row r="63">
      <c r="W63" s="52" t="n"/>
      <c r="X63" s="52" t="n"/>
      <c r="Y63" s="52" t="n"/>
    </row>
    <row r="64">
      <c r="F64" s="56">
        <f>SUM(F58:F63)</f>
        <v/>
      </c>
      <c r="G64" s="56">
        <f>SUM(G58:G63)</f>
        <v/>
      </c>
      <c r="H64" s="56">
        <f>SUM(H58:H63)</f>
        <v/>
      </c>
      <c r="I64" s="56">
        <f>SUM(I58:I63)</f>
        <v/>
      </c>
      <c r="W64" s="52" t="n"/>
      <c r="X64" s="52" t="n"/>
      <c r="Y64" s="52" t="n"/>
    </row>
    <row r="65">
      <c r="W65" s="52" t="n"/>
      <c r="X65" s="52" t="n"/>
      <c r="Y65" s="52" t="n"/>
    </row>
    <row r="66">
      <c r="A66" s="57" t="n"/>
      <c r="B66" s="57" t="inlineStr">
        <is>
          <t>PREVIOUS JOBS COMPLETED &amp; PAID (COMMISSION) - Modoras Team Please do ADD to THIS SECTION or AMEND/TOUCH</t>
        </is>
      </c>
      <c r="C66" s="57" t="n"/>
      <c r="D66" s="57" t="n"/>
      <c r="E66" s="57" t="n"/>
      <c r="F66" s="57" t="n"/>
      <c r="G66" s="57" t="n"/>
      <c r="H66" s="57" t="n"/>
      <c r="I66" s="57" t="n"/>
      <c r="J66" s="57" t="n"/>
      <c r="K66" s="57" t="n"/>
      <c r="L66" s="57" t="n"/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8" t="n"/>
      <c r="X66" s="58" t="n"/>
      <c r="Y66" s="52" t="n"/>
    </row>
    <row r="67">
      <c r="A67" s="57" t="n"/>
      <c r="B67" s="57" t="n">
        <v>1</v>
      </c>
      <c r="C67" s="57" t="n"/>
      <c r="D67" s="57" t="n"/>
      <c r="E67" s="57" t="n"/>
      <c r="F67" s="57" t="n"/>
      <c r="G67" s="57" t="n"/>
      <c r="H67" s="57" t="n"/>
      <c r="I67" s="57" t="n"/>
      <c r="J67" s="57" t="n"/>
      <c r="K67" s="57" t="n"/>
      <c r="L67" s="57" t="n"/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8" t="n"/>
      <c r="X67" s="58" t="n"/>
      <c r="Y67" s="52" t="n"/>
    </row>
    <row r="68">
      <c r="A68" s="57" t="n"/>
      <c r="B68" s="57" t="n">
        <v>2</v>
      </c>
      <c r="C68" s="57" t="n"/>
      <c r="D68" s="57" t="n"/>
      <c r="E68" s="57" t="n"/>
      <c r="F68" s="57" t="n"/>
      <c r="G68" s="57" t="n"/>
      <c r="H68" s="57" t="n"/>
      <c r="I68" s="57" t="n"/>
      <c r="J68" s="57" t="n"/>
      <c r="K68" s="57" t="n"/>
      <c r="L68" s="57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8" t="n"/>
      <c r="X68" s="58" t="n"/>
      <c r="Y68" s="52" t="n"/>
    </row>
    <row r="69">
      <c r="A69" s="57" t="n"/>
      <c r="B69" s="57" t="n">
        <v>3</v>
      </c>
      <c r="C69" s="57" t="n"/>
      <c r="D69" s="57" t="n"/>
      <c r="E69" s="57" t="n"/>
      <c r="F69" s="57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8" t="n"/>
      <c r="X69" s="58" t="n"/>
      <c r="Y69" s="52" t="n"/>
    </row>
    <row r="70">
      <c r="A70" s="57" t="n"/>
      <c r="B70" s="57" t="n">
        <v>4</v>
      </c>
      <c r="C70" s="57" t="n"/>
      <c r="D70" s="57" t="n"/>
      <c r="E70" s="57" t="n"/>
      <c r="F70" s="57" t="n"/>
      <c r="G70" s="57" t="n"/>
      <c r="H70" s="57" t="n"/>
      <c r="I70" s="57" t="n"/>
      <c r="J70" s="57" t="n"/>
      <c r="K70" s="57" t="n"/>
      <c r="L70" s="57" t="n"/>
      <c r="M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8" t="n"/>
      <c r="X70" s="58" t="n"/>
      <c r="Y70" s="52" t="n"/>
    </row>
    <row r="71">
      <c r="A71" s="57" t="n"/>
      <c r="B71" s="57" t="n">
        <v>5</v>
      </c>
      <c r="C71" s="57" t="n"/>
      <c r="D71" s="57" t="n"/>
      <c r="E71" s="57" t="n"/>
      <c r="F71" s="57" t="n"/>
      <c r="G71" s="57" t="n"/>
      <c r="H71" s="57" t="n"/>
      <c r="I71" s="57" t="n"/>
      <c r="J71" s="57" t="n"/>
      <c r="K71" s="57" t="n"/>
      <c r="L71" s="57" t="n"/>
      <c r="M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8" t="n"/>
      <c r="X71" s="58" t="n"/>
      <c r="Y71" s="52" t="n"/>
    </row>
    <row r="72">
      <c r="A72" s="57" t="n"/>
      <c r="B72" s="57" t="n">
        <v>6</v>
      </c>
      <c r="C72" s="57" t="n"/>
      <c r="D72" s="57" t="n"/>
      <c r="E72" s="57" t="n"/>
      <c r="F72" s="57" t="n"/>
      <c r="G72" s="57" t="n"/>
      <c r="H72" s="57" t="n"/>
      <c r="I72" s="57" t="n"/>
      <c r="J72" s="57" t="n"/>
      <c r="K72" s="57" t="n"/>
      <c r="L72" s="57" t="n"/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8" t="n"/>
      <c r="X72" s="58" t="n"/>
      <c r="Y72" s="52" t="n"/>
    </row>
    <row r="73">
      <c r="A73" s="57" t="n"/>
      <c r="B73" s="57" t="n">
        <v>7</v>
      </c>
      <c r="C73" s="57" t="n"/>
      <c r="D73" s="57" t="n"/>
      <c r="E73" s="57" t="n"/>
      <c r="F73" s="57" t="n"/>
      <c r="G73" s="57" t="n"/>
      <c r="H73" s="57" t="n"/>
      <c r="I73" s="57" t="n"/>
      <c r="J73" s="57" t="n"/>
      <c r="K73" s="57" t="n"/>
      <c r="L73" s="57" t="n"/>
      <c r="M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8" t="n"/>
      <c r="X73" s="58" t="n"/>
      <c r="Y73" s="52" t="n"/>
    </row>
    <row r="74">
      <c r="A74" s="57" t="n"/>
      <c r="B74" s="57" t="n">
        <v>8</v>
      </c>
      <c r="C74" s="57" t="n"/>
      <c r="D74" s="57" t="n"/>
      <c r="E74" s="57" t="n"/>
      <c r="F74" s="57" t="n"/>
      <c r="G74" s="57" t="n"/>
      <c r="H74" s="57" t="n"/>
      <c r="I74" s="57" t="n"/>
      <c r="J74" s="57" t="n"/>
      <c r="K74" s="57" t="n"/>
      <c r="L74" s="57" t="n"/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8" t="n"/>
      <c r="X74" s="58" t="n"/>
      <c r="Y74" s="52" t="n"/>
    </row>
    <row r="75">
      <c r="W75" s="52" t="n"/>
      <c r="X75" s="52" t="n"/>
      <c r="Y75" s="52" t="n"/>
    </row>
    <row r="76">
      <c r="W76" s="52" t="n"/>
      <c r="X76" s="52" t="n"/>
      <c r="Y76" s="52" t="n"/>
    </row>
    <row r="77">
      <c r="W77" s="52" t="n"/>
      <c r="X77" s="52" t="n"/>
      <c r="Y77" s="52" t="n"/>
    </row>
    <row r="78">
      <c r="W78" s="52" t="n"/>
      <c r="X78" s="52" t="n"/>
      <c r="Y78" s="52" t="n"/>
    </row>
    <row r="79">
      <c r="W79" s="52" t="n"/>
      <c r="X79" s="52" t="n"/>
      <c r="Y79" s="52" t="n"/>
    </row>
    <row r="80">
      <c r="F80" s="56">
        <f>SUM(F67:F79)</f>
        <v/>
      </c>
      <c r="G80" s="56">
        <f>SUM(G67:G79)</f>
        <v/>
      </c>
      <c r="H80" s="56">
        <f>SUM(H67:H79)</f>
        <v/>
      </c>
      <c r="I80" s="56">
        <f>SUM(I67:I79)</f>
        <v/>
      </c>
      <c r="W80" s="52" t="n"/>
      <c r="X80" s="52" t="n"/>
      <c r="Y80" s="52" t="n"/>
    </row>
    <row r="81">
      <c r="W81" s="52" t="n"/>
      <c r="X81" s="52" t="n"/>
      <c r="Y81" s="52" t="n"/>
    </row>
    <row r="82">
      <c r="B82" s="59" t="inlineStr">
        <is>
          <t>CURRENT JOBS COMPLETED (AWAITING PAYMENT)</t>
        </is>
      </c>
      <c r="W82" s="52" t="n"/>
      <c r="X82" s="52" t="n"/>
      <c r="Y82" s="52" t="n"/>
    </row>
    <row r="83">
      <c r="W83" s="52" t="n"/>
      <c r="X83" s="52" t="n"/>
      <c r="Y83" s="52" t="n"/>
    </row>
    <row r="84">
      <c r="W84" s="52" t="n"/>
      <c r="X84" s="52" t="n"/>
      <c r="Y84" s="52" t="n"/>
    </row>
    <row r="85">
      <c r="W85" s="52" t="n"/>
      <c r="X85" s="52" t="n"/>
      <c r="Y85" s="52" t="n"/>
    </row>
    <row r="86">
      <c r="W86" s="52" t="n"/>
      <c r="X86" s="52" t="n"/>
      <c r="Y86" s="52" t="n"/>
    </row>
    <row r="87">
      <c r="W87" s="52" t="n"/>
      <c r="X87" s="52" t="n"/>
      <c r="Y87" s="52" t="n"/>
    </row>
    <row r="88">
      <c r="W88" s="52" t="n"/>
      <c r="X88" s="52" t="n"/>
      <c r="Y88" s="52" t="n"/>
    </row>
    <row r="89">
      <c r="F89" s="56">
        <f>SUM(F83:F88)</f>
        <v/>
      </c>
      <c r="G89" s="56">
        <f>SUM(G83:G88)</f>
        <v/>
      </c>
      <c r="H89" s="56">
        <f>SUM(H83:H88)</f>
        <v/>
      </c>
      <c r="I89" s="56">
        <f>SUM(I83:I88)</f>
        <v/>
      </c>
      <c r="W89" s="52" t="n"/>
      <c r="X89" s="52" t="n"/>
      <c r="Y89" s="52" t="n"/>
    </row>
    <row r="90">
      <c r="W90" s="52" t="n"/>
      <c r="X90" s="52" t="n"/>
      <c r="Y90" s="52" t="n"/>
    </row>
    <row r="91">
      <c r="B91" s="59" t="inlineStr">
        <is>
          <t>WEEKEND CURRENT JOBS COMPLETED (AWAITING PAYMENT)</t>
        </is>
      </c>
      <c r="W91" s="52" t="n"/>
      <c r="X91" s="52" t="n"/>
      <c r="Y91" s="52" t="n"/>
    </row>
    <row r="92">
      <c r="W92" s="52" t="n"/>
      <c r="X92" s="52" t="n"/>
      <c r="Y92" s="52" t="n"/>
    </row>
    <row r="93">
      <c r="W93" s="52" t="n"/>
      <c r="X93" s="52" t="n"/>
      <c r="Y93" s="52" t="n"/>
    </row>
    <row r="94">
      <c r="W94" s="52" t="n"/>
      <c r="X94" s="52" t="n"/>
      <c r="Y94" s="52" t="n"/>
    </row>
    <row r="95">
      <c r="W95" s="52" t="n"/>
      <c r="X95" s="52" t="n"/>
      <c r="Y95" s="52" t="n"/>
    </row>
    <row r="96">
      <c r="W96" s="52" t="n"/>
      <c r="X96" s="52" t="n"/>
      <c r="Y96" s="52" t="n"/>
    </row>
    <row r="97">
      <c r="W97" s="52" t="n"/>
      <c r="X97" s="52" t="n"/>
      <c r="Y97" s="52" t="n"/>
    </row>
    <row r="98">
      <c r="F98" s="56">
        <f>SUM(F92:F97)</f>
        <v/>
      </c>
      <c r="G98" s="56">
        <f>SUM(G92:G97)</f>
        <v/>
      </c>
      <c r="H98" s="56">
        <f>SUM(H92:H97)</f>
        <v/>
      </c>
      <c r="I98" s="56">
        <f>SUM(I92:I97)</f>
        <v/>
      </c>
      <c r="W98" s="52" t="n"/>
      <c r="X98" s="52" t="n"/>
      <c r="Y98" s="52" t="n"/>
    </row>
    <row r="99">
      <c r="W99" s="52" t="n"/>
      <c r="X99" s="52" t="n"/>
      <c r="Y99" s="52" t="n"/>
    </row>
    <row r="100">
      <c r="B100" t="inlineStr">
        <is>
          <t>AFTERHOURS CURRENT JOBS COMPLETED (AWAITING PAYMENT)</t>
        </is>
      </c>
      <c r="W100" s="52" t="n"/>
      <c r="X100" s="52" t="n"/>
      <c r="Y100" s="52" t="n"/>
    </row>
    <row r="101">
      <c r="W101" s="52" t="n"/>
      <c r="X101" s="52" t="n"/>
      <c r="Y101" s="52" t="n"/>
    </row>
    <row r="102">
      <c r="W102" s="52" t="n"/>
      <c r="X102" s="52" t="n"/>
      <c r="Y102" s="52" t="n"/>
    </row>
    <row r="103">
      <c r="W103" s="52" t="n"/>
      <c r="X103" s="52" t="n"/>
      <c r="Y103" s="52" t="n"/>
    </row>
    <row r="104">
      <c r="W104" s="52" t="n"/>
      <c r="X104" s="52" t="n"/>
      <c r="Y104" s="52" t="n"/>
    </row>
    <row r="105">
      <c r="W105" s="52" t="n"/>
      <c r="X105" s="52" t="n"/>
      <c r="Y105" s="52" t="n"/>
    </row>
    <row r="106">
      <c r="W106" s="52" t="n"/>
      <c r="X106" s="52" t="n"/>
      <c r="Y106" s="52" t="n"/>
    </row>
    <row r="107">
      <c r="F107" s="56">
        <f>SUM(F101:F106)</f>
        <v/>
      </c>
      <c r="G107" s="56">
        <f>SUM(G101:G106)</f>
        <v/>
      </c>
      <c r="H107" s="56">
        <f>SUM(H101:H106)</f>
        <v/>
      </c>
      <c r="I107" s="56">
        <f>SUM(I101:I106)</f>
        <v/>
      </c>
      <c r="W107" s="52" t="n"/>
      <c r="X107" s="52" t="n"/>
      <c r="Y107" s="52" t="n"/>
    </row>
    <row r="108">
      <c r="W108" s="52" t="n"/>
      <c r="X108" s="52" t="n"/>
      <c r="Y108" s="52" t="n"/>
    </row>
    <row r="109">
      <c r="B109" s="59" t="inlineStr">
        <is>
          <t>CURRENT WORK ORDERS (AWAITING PAYMENT)</t>
        </is>
      </c>
      <c r="W109" s="52" t="n"/>
      <c r="X109" s="52" t="n"/>
      <c r="Y109" s="52" t="n"/>
    </row>
    <row r="110">
      <c r="B110" s="59" t="n">
        <v>1</v>
      </c>
      <c r="C110" s="59" t="inlineStr">
        <is>
          <t>25/11/2025</t>
        </is>
      </c>
      <c r="D110" s="59" t="n">
        <v>100239</v>
      </c>
      <c r="E110" s="59" t="inlineStr">
        <is>
          <t>Bayswater North</t>
        </is>
      </c>
      <c r="F110" s="60" t="n">
        <v>4642.08</v>
      </c>
      <c r="G110" s="60" t="n">
        <v>928.4160000000001</v>
      </c>
      <c r="I110" s="60">
        <f>F110-G110-H110</f>
        <v/>
      </c>
      <c r="J110" s="59" t="n">
        <v/>
      </c>
      <c r="K110" s="61">
        <f>IF(OR(L110=0, M110=0, N110=0, O110=0, P110=0, Q110=0, R110=0, S110=0, T110=0), "N","Y")</f>
        <v/>
      </c>
      <c r="L110" s="59" t="n">
        <v>0</v>
      </c>
      <c r="M110" s="59" t="n">
        <v>0</v>
      </c>
      <c r="N110" s="59" t="n">
        <v>0</v>
      </c>
      <c r="O110" s="59" t="n">
        <v>0</v>
      </c>
      <c r="P110" s="59" t="n">
        <v>0</v>
      </c>
      <c r="Q110" s="59" t="n">
        <v>0</v>
      </c>
      <c r="R110" s="59" t="n">
        <v>0</v>
      </c>
      <c r="S110" s="59" t="n">
        <v>0</v>
      </c>
      <c r="T110" s="59" t="n">
        <v>0</v>
      </c>
      <c r="U110" s="59" t="n">
        <v>0</v>
      </c>
      <c r="W110" s="52" t="n"/>
      <c r="X110" s="52" t="n"/>
      <c r="Y110" s="52" t="n"/>
      <c r="Z110" s="55">
        <f>ROUND(F110*1.1,2)</f>
        <v/>
      </c>
      <c r="AA110" s="55">
        <f>ROUND(Z110 - W110 - X110 - Y110,2)</f>
        <v/>
      </c>
    </row>
    <row r="111">
      <c r="B111" s="59" t="n">
        <v>2</v>
      </c>
      <c r="C111" s="59" t="inlineStr">
        <is>
          <t>27/11/2025</t>
        </is>
      </c>
      <c r="D111" s="59" t="n">
        <v>100323</v>
      </c>
      <c r="E111" s="59" t="inlineStr">
        <is>
          <t>Donvale</t>
        </is>
      </c>
      <c r="F111" s="60" t="n">
        <v>5233.48</v>
      </c>
      <c r="G111" s="60" t="n">
        <v>1046.696</v>
      </c>
      <c r="I111" s="60">
        <f>F111-G111-H111</f>
        <v/>
      </c>
      <c r="J111" s="59" t="inlineStr">
        <is>
          <t>Credit Card</t>
        </is>
      </c>
      <c r="K111" s="61">
        <f>IF(OR(L111=0, M111=0, N111=0, O111=0, P111=0, Q111=0, R111=0, S111=0, T111=0), "N","Y")</f>
        <v/>
      </c>
      <c r="L111" s="59" t="n">
        <v>0</v>
      </c>
      <c r="M111" s="59" t="n">
        <v>0</v>
      </c>
      <c r="N111" s="59" t="n">
        <v>0</v>
      </c>
      <c r="O111" s="59" t="n">
        <v>0</v>
      </c>
      <c r="P111" s="59" t="n">
        <v>0</v>
      </c>
      <c r="Q111" s="59" t="n">
        <v>0</v>
      </c>
      <c r="R111" s="59" t="n">
        <v>0</v>
      </c>
      <c r="S111" s="59" t="n">
        <v>0</v>
      </c>
      <c r="T111" s="59" t="n">
        <v>0</v>
      </c>
      <c r="U111" s="59" t="n">
        <v>0</v>
      </c>
      <c r="W111" s="62">
        <f>575.00</f>
        <v/>
      </c>
      <c r="X111" s="52" t="n"/>
      <c r="Y111" s="52" t="n"/>
      <c r="Z111" s="55">
        <f>ROUND(F111*1.1,2)</f>
        <v/>
      </c>
      <c r="AA111" s="55">
        <f>ROUND(Z111 - W111 - X111 - Y111,2)</f>
        <v/>
      </c>
    </row>
    <row r="112">
      <c r="W112" s="52" t="n"/>
      <c r="X112" s="52" t="n"/>
      <c r="Y112" s="52" t="n"/>
    </row>
    <row r="113">
      <c r="W113" s="52" t="n"/>
      <c r="X113" s="52" t="n"/>
      <c r="Y113" s="52" t="n"/>
    </row>
    <row r="114">
      <c r="W114" s="52" t="n"/>
      <c r="X114" s="52" t="n"/>
      <c r="Y114" s="52" t="n"/>
    </row>
    <row r="115">
      <c r="W115" s="52" t="n"/>
      <c r="X115" s="52" t="n"/>
      <c r="Y115" s="52" t="n"/>
    </row>
    <row r="116">
      <c r="W116" s="52" t="n"/>
      <c r="X116" s="52" t="n"/>
      <c r="Y116" s="52" t="n"/>
    </row>
    <row r="117">
      <c r="F117" s="56">
        <f>SUM(F110:F116)</f>
        <v/>
      </c>
      <c r="G117" s="56">
        <f>SUM(G110:G116)</f>
        <v/>
      </c>
      <c r="H117" s="56">
        <f>SUM(H110:H116)</f>
        <v/>
      </c>
      <c r="I117" s="56">
        <f>SUM(I110:I116)</f>
        <v/>
      </c>
      <c r="W117" s="52" t="n"/>
      <c r="X117" s="52" t="n"/>
      <c r="Y117" s="52" t="n"/>
    </row>
    <row r="118">
      <c r="W118" s="52" t="n"/>
      <c r="X118" s="52" t="n"/>
      <c r="Y118" s="52" t="n"/>
    </row>
    <row r="119">
      <c r="B119" s="59" t="inlineStr">
        <is>
          <t>WEEKEND WORK ORDERS (AWAITING PAYMENT)</t>
        </is>
      </c>
      <c r="W119" s="52" t="n"/>
      <c r="X119" s="52" t="n"/>
      <c r="Y119" s="52" t="n"/>
    </row>
    <row r="120">
      <c r="W120" s="52" t="n"/>
      <c r="X120" s="52" t="n"/>
      <c r="Y120" s="52" t="n"/>
    </row>
    <row r="121">
      <c r="W121" s="52" t="n"/>
      <c r="X121" s="52" t="n"/>
      <c r="Y121" s="52" t="n"/>
    </row>
    <row r="122">
      <c r="W122" s="52" t="n"/>
      <c r="X122" s="52" t="n"/>
      <c r="Y122" s="52" t="n"/>
    </row>
    <row r="123">
      <c r="W123" s="52" t="n"/>
      <c r="X123" s="52" t="n"/>
      <c r="Y123" s="52" t="n"/>
    </row>
    <row r="124">
      <c r="W124" s="52" t="n"/>
      <c r="X124" s="52" t="n"/>
      <c r="Y124" s="52" t="n"/>
    </row>
    <row r="125">
      <c r="W125" s="52" t="n"/>
      <c r="X125" s="52" t="n"/>
      <c r="Y125" s="52" t="n"/>
    </row>
    <row r="126">
      <c r="F126" s="56">
        <f>SUM(F120:F125)</f>
        <v/>
      </c>
      <c r="G126" s="56">
        <f>SUM(G120:G125)</f>
        <v/>
      </c>
      <c r="H126" s="56">
        <f>SUM(H120:H125)</f>
        <v/>
      </c>
      <c r="I126" s="56">
        <f>SUM(I120:I125)</f>
        <v/>
      </c>
      <c r="W126" s="52" t="n"/>
      <c r="X126" s="52" t="n"/>
      <c r="Y126" s="52" t="n"/>
    </row>
    <row r="127">
      <c r="W127" s="52" t="n"/>
      <c r="X127" s="52" t="n"/>
      <c r="Y127" s="52" t="n"/>
    </row>
    <row r="128">
      <c r="B128" t="inlineStr">
        <is>
          <t>AFTERHOURS WORK ORDERS (AWAITING PAYMENT)</t>
        </is>
      </c>
      <c r="W128" s="52" t="n"/>
      <c r="X128" s="52" t="n"/>
      <c r="Y128" s="52" t="n"/>
    </row>
    <row r="129">
      <c r="W129" s="52" t="n"/>
      <c r="X129" s="52" t="n"/>
      <c r="Y129" s="52" t="n"/>
    </row>
    <row r="130">
      <c r="W130" s="52" t="n"/>
      <c r="X130" s="52" t="n"/>
      <c r="Y130" s="52" t="n"/>
    </row>
    <row r="131">
      <c r="W131" s="52" t="n"/>
      <c r="X131" s="52" t="n"/>
      <c r="Y131" s="52" t="n"/>
    </row>
    <row r="132">
      <c r="W132" s="52" t="n"/>
      <c r="X132" s="52" t="n"/>
      <c r="Y132" s="52" t="n"/>
    </row>
    <row r="133">
      <c r="W133" s="52" t="n"/>
      <c r="X133" s="52" t="n"/>
      <c r="Y133" s="52" t="n"/>
    </row>
    <row r="134">
      <c r="W134" s="52" t="n"/>
      <c r="X134" s="52" t="n"/>
      <c r="Y134" s="52" t="n"/>
    </row>
    <row r="135">
      <c r="F135" s="56">
        <f>SUM(F129:F134)</f>
        <v/>
      </c>
      <c r="G135" s="56">
        <f>SUM(G129:G134)</f>
        <v/>
      </c>
      <c r="H135" s="56">
        <f>SUM(H129:H134)</f>
        <v/>
      </c>
      <c r="I135" s="56">
        <f>SUM(I129:I134)</f>
        <v/>
      </c>
      <c r="W135" s="52" t="n"/>
      <c r="X135" s="52" t="n"/>
      <c r="Y135" s="52" t="n"/>
    </row>
    <row r="136">
      <c r="W136" s="52" t="n"/>
      <c r="X136" s="52" t="n"/>
      <c r="Y136" s="52" t="n"/>
    </row>
    <row r="137">
      <c r="B137" t="inlineStr">
        <is>
          <t>UNSUCCESSFUL JOBS</t>
        </is>
      </c>
      <c r="W137" s="52" t="n"/>
      <c r="X137" s="52" t="n"/>
      <c r="Y137" s="52" t="n"/>
    </row>
    <row r="138">
      <c r="W138" s="52" t="n"/>
      <c r="X138" s="52" t="n"/>
      <c r="Y138" s="52" t="n"/>
    </row>
    <row r="139">
      <c r="W139" s="52" t="n"/>
      <c r="X139" s="52" t="n"/>
      <c r="Y139" s="52" t="n"/>
    </row>
    <row r="140">
      <c r="W140" s="52" t="n"/>
      <c r="X140" s="52" t="n"/>
      <c r="Y140" s="52" t="n"/>
    </row>
    <row r="141">
      <c r="W141" s="52" t="n"/>
      <c r="X141" s="52" t="n"/>
      <c r="Y141" s="52" t="n"/>
    </row>
    <row r="142">
      <c r="W142" s="52" t="n"/>
      <c r="X142" s="52" t="n"/>
      <c r="Y142" s="52" t="n"/>
    </row>
    <row r="143">
      <c r="W143" s="52" t="n"/>
      <c r="X143" s="52" t="n"/>
      <c r="Y143" s="52" t="n"/>
    </row>
    <row r="144">
      <c r="F144" s="56">
        <f>SUM(F138:F143)</f>
        <v/>
      </c>
      <c r="G144" s="56">
        <f>SUM(G138:G143)</f>
        <v/>
      </c>
      <c r="H144" s="56">
        <f>SUM(H138:H143)</f>
        <v/>
      </c>
      <c r="I144" s="56">
        <f>SUM(I138:I143)</f>
        <v/>
      </c>
      <c r="W144" s="52" t="n"/>
      <c r="X144" s="52" t="n"/>
      <c r="Y144" s="52" t="n"/>
    </row>
    <row r="145">
      <c r="W145" s="52" t="n"/>
      <c r="X145" s="52" t="n"/>
      <c r="Y145" s="52" t="n"/>
    </row>
    <row r="146">
      <c r="B146" t="inlineStr">
        <is>
          <t>WEEKEND UNSUCCESSFUL JOBS</t>
        </is>
      </c>
      <c r="W146" s="52" t="n"/>
      <c r="X146" s="52" t="n"/>
      <c r="Y146" s="52" t="n"/>
    </row>
    <row r="147">
      <c r="W147" s="52" t="n"/>
      <c r="X147" s="52" t="n"/>
      <c r="Y147" s="52" t="n"/>
    </row>
    <row r="148">
      <c r="W148" s="52" t="n"/>
      <c r="X148" s="52" t="n"/>
      <c r="Y148" s="52" t="n"/>
    </row>
    <row r="149">
      <c r="W149" s="52" t="n"/>
      <c r="X149" s="52" t="n"/>
      <c r="Y149" s="52" t="n"/>
    </row>
    <row r="150">
      <c r="W150" s="52" t="n"/>
      <c r="X150" s="52" t="n"/>
      <c r="Y150" s="52" t="n"/>
    </row>
    <row r="151">
      <c r="W151" s="52" t="n"/>
      <c r="X151" s="52" t="n"/>
      <c r="Y151" s="52" t="n"/>
    </row>
    <row r="152">
      <c r="W152" s="52" t="n"/>
      <c r="X152" s="52" t="n"/>
      <c r="Y152" s="52" t="n"/>
    </row>
    <row r="153">
      <c r="F153" s="56">
        <f>SUM(F147:F152)</f>
        <v/>
      </c>
      <c r="G153" s="56">
        <f>SUM(G147:G152)</f>
        <v/>
      </c>
      <c r="H153" s="56">
        <f>SUM(H147:H152)</f>
        <v/>
      </c>
      <c r="I153" s="56">
        <f>SUM(I147:I152)</f>
        <v/>
      </c>
      <c r="W153" s="52" t="n"/>
      <c r="X153" s="52" t="n"/>
      <c r="Y153" s="52" t="n"/>
    </row>
    <row r="154">
      <c r="W154" s="52" t="n"/>
      <c r="X154" s="52" t="n"/>
      <c r="Y154" s="52" t="n"/>
    </row>
    <row r="155">
      <c r="B155" t="inlineStr">
        <is>
          <t>AFTERHOURS UNSUCCESSFUL JOBS</t>
        </is>
      </c>
      <c r="W155" s="52" t="n"/>
      <c r="X155" s="52" t="n"/>
      <c r="Y155" s="52" t="n"/>
    </row>
    <row r="156">
      <c r="W156" s="52" t="n"/>
      <c r="X156" s="52" t="n"/>
      <c r="Y156" s="52" t="n"/>
    </row>
    <row r="157">
      <c r="W157" s="52" t="n"/>
      <c r="X157" s="52" t="n"/>
      <c r="Y157" s="52" t="n"/>
    </row>
    <row r="158">
      <c r="W158" s="52" t="n"/>
      <c r="X158" s="52" t="n"/>
      <c r="Y158" s="52" t="n"/>
    </row>
    <row r="159">
      <c r="W159" s="52" t="n"/>
      <c r="X159" s="52" t="n"/>
      <c r="Y159" s="52" t="n"/>
    </row>
    <row r="160">
      <c r="W160" s="52" t="n"/>
      <c r="X160" s="52" t="n"/>
      <c r="Y160" s="52" t="n"/>
    </row>
    <row r="161">
      <c r="W161" s="52" t="n"/>
      <c r="X161" s="52" t="n"/>
      <c r="Y161" s="52" t="n"/>
    </row>
    <row r="162">
      <c r="F162" s="56">
        <f>SUM(F156:F161)</f>
        <v/>
      </c>
      <c r="G162" s="56">
        <f>SUM(G156:G161)</f>
        <v/>
      </c>
      <c r="H162" s="56">
        <f>SUM(H156:H161)</f>
        <v/>
      </c>
      <c r="I162" s="56">
        <f>SUM(I156:I161)</f>
        <v/>
      </c>
      <c r="W162" s="52" t="n"/>
      <c r="X162" s="52" t="n"/>
      <c r="Y162" s="52" t="n"/>
    </row>
    <row r="163">
      <c r="W163" s="52" t="n"/>
      <c r="X163" s="52" t="n"/>
      <c r="Y163" s="52" t="n"/>
    </row>
    <row r="164">
      <c r="B164" t="inlineStr">
        <is>
          <t>WEEK UNCATEGORISED</t>
        </is>
      </c>
      <c r="W164" s="52" t="n"/>
      <c r="X164" s="52" t="n"/>
      <c r="Y164" s="52" t="n"/>
    </row>
    <row r="165">
      <c r="W165" s="52" t="n"/>
      <c r="X165" s="52" t="n"/>
      <c r="Y165" s="52" t="n"/>
    </row>
    <row r="166">
      <c r="W166" s="52" t="n"/>
      <c r="X166" s="52" t="n"/>
      <c r="Y166" s="52" t="n"/>
    </row>
    <row r="167">
      <c r="W167" s="52" t="n"/>
      <c r="X167" s="52" t="n"/>
      <c r="Y167" s="52" t="n"/>
    </row>
    <row r="168">
      <c r="W168" s="52" t="n"/>
      <c r="X168" s="52" t="n"/>
      <c r="Y168" s="52" t="n"/>
    </row>
    <row r="169">
      <c r="W169" s="52" t="n"/>
      <c r="X169" s="52" t="n"/>
      <c r="Y169" s="52" t="n"/>
    </row>
    <row r="170">
      <c r="W170" s="52" t="n"/>
      <c r="X170" s="52" t="n"/>
      <c r="Y170" s="52" t="n"/>
    </row>
    <row r="171">
      <c r="F171" s="56">
        <f>SUM(F165:F170)</f>
        <v/>
      </c>
      <c r="G171" s="56">
        <f>SUM(G165:G170)</f>
        <v/>
      </c>
      <c r="H171" s="56">
        <f>SUM(H165:H170)</f>
        <v/>
      </c>
      <c r="I171" s="56">
        <f>SUM(I165:I170)</f>
        <v/>
      </c>
      <c r="W171" s="52" t="n"/>
      <c r="X171" s="52" t="n"/>
      <c r="Y171" s="52" t="n"/>
    </row>
    <row r="172">
      <c r="W172" s="52" t="n"/>
      <c r="X172" s="52" t="n"/>
      <c r="Y172" s="52" t="n"/>
    </row>
    <row r="173">
      <c r="B173" t="inlineStr">
        <is>
          <t>WEEKEND UNCATEGORISED</t>
        </is>
      </c>
      <c r="W173" s="52" t="n"/>
      <c r="X173" s="52" t="n"/>
      <c r="Y173" s="52" t="n"/>
    </row>
    <row r="174">
      <c r="W174" s="52" t="n"/>
      <c r="X174" s="52" t="n"/>
      <c r="Y174" s="52" t="n"/>
    </row>
    <row r="175">
      <c r="W175" s="52" t="n"/>
      <c r="X175" s="52" t="n"/>
      <c r="Y175" s="52" t="n"/>
    </row>
    <row r="176">
      <c r="W176" s="52" t="n"/>
      <c r="X176" s="52" t="n"/>
      <c r="Y176" s="52" t="n"/>
    </row>
    <row r="177">
      <c r="W177" s="52" t="n"/>
      <c r="X177" s="52" t="n"/>
      <c r="Y177" s="52" t="n"/>
    </row>
    <row r="178">
      <c r="W178" s="52" t="n"/>
      <c r="X178" s="52" t="n"/>
      <c r="Y178" s="52" t="n"/>
    </row>
    <row r="179">
      <c r="W179" s="52" t="n"/>
      <c r="X179" s="52" t="n"/>
      <c r="Y179" s="52" t="n"/>
    </row>
    <row r="180">
      <c r="F180" s="56">
        <f>SUM(F174:F179)</f>
        <v/>
      </c>
      <c r="G180" s="56">
        <f>SUM(G174:G179)</f>
        <v/>
      </c>
      <c r="H180" s="56">
        <f>SUM(H174:H179)</f>
        <v/>
      </c>
      <c r="I180" s="56">
        <f>SUM(I174:I179)</f>
        <v/>
      </c>
      <c r="W180" s="52" t="n"/>
      <c r="X180" s="52" t="n"/>
      <c r="Y180" s="52" t="n"/>
    </row>
    <row r="181">
      <c r="W181" s="52" t="n"/>
      <c r="X181" s="52" t="n"/>
      <c r="Y181" s="52" t="n"/>
    </row>
    <row r="182">
      <c r="B182" t="inlineStr">
        <is>
          <t>AFTERHOURS UNCATEGORISED</t>
        </is>
      </c>
      <c r="W182" s="52" t="n"/>
      <c r="X182" s="52" t="n"/>
      <c r="Y182" s="52" t="n"/>
    </row>
    <row r="183">
      <c r="W183" s="52" t="n"/>
      <c r="X183" s="52" t="n"/>
      <c r="Y183" s="52" t="n"/>
    </row>
    <row r="184">
      <c r="W184" s="52" t="n"/>
      <c r="X184" s="52" t="n"/>
      <c r="Y184" s="52" t="n"/>
    </row>
    <row r="185">
      <c r="W185" s="52" t="n"/>
      <c r="X185" s="52" t="n"/>
      <c r="Y185" s="52" t="n"/>
    </row>
    <row r="186">
      <c r="W186" s="52" t="n"/>
      <c r="X186" s="52" t="n"/>
      <c r="Y186" s="52" t="n"/>
    </row>
    <row r="187">
      <c r="W187" s="52" t="n"/>
      <c r="X187" s="52" t="n"/>
      <c r="Y187" s="52" t="n"/>
    </row>
    <row r="188">
      <c r="W188" s="52" t="n"/>
      <c r="X188" s="52" t="n"/>
      <c r="Y188" s="52" t="n"/>
    </row>
    <row r="189">
      <c r="F189" s="56">
        <f>SUM(F183:F188)</f>
        <v/>
      </c>
      <c r="G189" s="56">
        <f>SUM(G183:G188)</f>
        <v/>
      </c>
      <c r="H189" s="56">
        <f>SUM(H183:H188)</f>
        <v/>
      </c>
      <c r="I189" s="56">
        <f>SUM(I183:I188)</f>
        <v/>
      </c>
    </row>
  </sheetData>
  <conditionalFormatting sqref="K29:U44">
    <cfRule type="cellIs" priority="1" operator="equal" dxfId="0">
      <formula>0</formula>
    </cfRule>
  </conditionalFormatting>
  <conditionalFormatting sqref="K49:U54">
    <cfRule type="cellIs" priority="2" operator="equal" dxfId="0">
      <formula>0</formula>
    </cfRule>
  </conditionalFormatting>
  <conditionalFormatting sqref="K58:U63">
    <cfRule type="cellIs" priority="3" operator="equal" dxfId="0">
      <formula>0</formula>
    </cfRule>
  </conditionalFormatting>
  <conditionalFormatting sqref="K67:U79">
    <cfRule type="cellIs" priority="4" operator="equal" dxfId="0">
      <formula>0</formula>
    </cfRule>
  </conditionalFormatting>
  <conditionalFormatting sqref="K83:U88">
    <cfRule type="cellIs" priority="5" operator="equal" dxfId="0">
      <formula>0</formula>
    </cfRule>
  </conditionalFormatting>
  <conditionalFormatting sqref="K92:U97">
    <cfRule type="cellIs" priority="6" operator="equal" dxfId="0">
      <formula>0</formula>
    </cfRule>
  </conditionalFormatting>
  <conditionalFormatting sqref="K101:U106">
    <cfRule type="cellIs" priority="7" operator="equal" dxfId="0">
      <formula>0</formula>
    </cfRule>
  </conditionalFormatting>
  <conditionalFormatting sqref="K110:U116">
    <cfRule type="cellIs" priority="8" operator="equal" dxfId="0">
      <formula>0</formula>
    </cfRule>
  </conditionalFormatting>
  <conditionalFormatting sqref="K120:U125">
    <cfRule type="cellIs" priority="9" operator="equal" dxfId="0">
      <formula>0</formula>
    </cfRule>
  </conditionalFormatting>
  <conditionalFormatting sqref="K129:U134">
    <cfRule type="cellIs" priority="10" operator="equal" dxfId="0">
      <formula>0</formula>
    </cfRule>
  </conditionalFormatting>
  <conditionalFormatting sqref="K138:U143">
    <cfRule type="cellIs" priority="11" operator="equal" dxfId="0">
      <formula>0</formula>
    </cfRule>
  </conditionalFormatting>
  <conditionalFormatting sqref="K147:U152">
    <cfRule type="cellIs" priority="12" operator="equal" dxfId="0">
      <formula>0</formula>
    </cfRule>
  </conditionalFormatting>
  <conditionalFormatting sqref="K156:U161">
    <cfRule type="cellIs" priority="13" operator="equal" dxfId="0">
      <formula>0</formula>
    </cfRule>
  </conditionalFormatting>
  <conditionalFormatting sqref="K165:U170">
    <cfRule type="cellIs" priority="14" operator="equal" dxfId="0">
      <formula>0</formula>
    </cfRule>
  </conditionalFormatting>
  <conditionalFormatting sqref="K174:U179">
    <cfRule type="cellIs" priority="15" operator="equal" dxfId="0">
      <formula>0</formula>
    </cfRule>
  </conditionalFormatting>
  <conditionalFormatting sqref="K183:U188">
    <cfRule type="cellIs" priority="16" operator="equal" dxfId="0">
      <formula>0</formula>
    </cfRule>
  </conditionalFormatting>
  <conditionalFormatting sqref="I29:I54">
    <cfRule type="expression" priority="17" dxfId="1">
      <formula>$K29="N"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e3b019"/>
    <outlinePr summaryBelow="1" summaryRight="1"/>
    <pageSetUpPr/>
  </sheetPr>
  <dimension ref="A1:Y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WEEKLY COMMISSION</t>
        </is>
      </c>
      <c r="F1" s="2" t="inlineStr">
        <is>
          <t>WEEK ENDING</t>
        </is>
      </c>
      <c r="G1" s="2" t="inlineStr">
        <is>
          <t>30/11/2025</t>
        </is>
      </c>
    </row>
    <row r="2">
      <c r="K2" s="3" t="inlineStr">
        <is>
          <t>PHOTOS</t>
        </is>
      </c>
      <c r="L2" s="4" t="n"/>
      <c r="M2" s="4" t="n"/>
      <c r="N2" s="3" t="inlineStr">
        <is>
          <t>QUOTE</t>
        </is>
      </c>
      <c r="O2" s="4" t="n"/>
      <c r="P2" s="4" t="n"/>
      <c r="Q2" s="3" t="inlineStr">
        <is>
          <t>INVOICE</t>
        </is>
      </c>
      <c r="R2" s="4" t="n"/>
      <c r="S2" s="5" t="n"/>
      <c r="T2" s="5" t="n"/>
    </row>
    <row r="3">
      <c r="B3" s="3" t="inlineStr">
        <is>
          <t>BOOKED JOBS</t>
        </is>
      </c>
      <c r="C3" s="6">
        <f>B4+B5</f>
        <v/>
      </c>
      <c r="E3" s="3" t="inlineStr">
        <is>
          <t>WEEKLY TARGET</t>
        </is>
      </c>
      <c r="F3" s="4" t="n"/>
      <c r="G3" s="5" t="n"/>
      <c r="K3" s="7" t="inlineStr">
        <is>
          <t>BEFORE</t>
        </is>
      </c>
      <c r="L3" s="8" t="inlineStr">
        <is>
          <t>AFTER</t>
        </is>
      </c>
      <c r="M3" s="8" t="inlineStr">
        <is>
          <t>RECEIPT</t>
        </is>
      </c>
      <c r="N3" s="7" t="inlineStr">
        <is>
          <t>DESCRIPTION</t>
        </is>
      </c>
      <c r="O3" s="8" t="inlineStr">
        <is>
          <t>SIGNED</t>
        </is>
      </c>
      <c r="P3" s="8" t="inlineStr">
        <is>
          <t>EMAILED</t>
        </is>
      </c>
      <c r="Q3" s="7" t="inlineStr">
        <is>
          <t>DESCRIPTION</t>
        </is>
      </c>
      <c r="R3" s="8" t="inlineStr">
        <is>
          <t>SIGNED</t>
        </is>
      </c>
      <c r="S3" s="8" t="inlineStr">
        <is>
          <t>EMAILED</t>
        </is>
      </c>
      <c r="T3" s="9" t="inlineStr">
        <is>
          <t>5 Star Review</t>
        </is>
      </c>
    </row>
    <row r="4">
      <c r="B4" s="1" t="inlineStr">
        <is>
          <t>SUCCESSFUL</t>
        </is>
      </c>
      <c r="C4" s="10">
        <f>O11</f>
        <v/>
      </c>
      <c r="E4" s="11" t="inlineStr">
        <is>
          <t>Tier 1</t>
        </is>
      </c>
      <c r="F4" t="inlineStr">
        <is>
          <t>&lt;$25000</t>
        </is>
      </c>
      <c r="G4" s="12">
        <f>0.05</f>
        <v/>
      </c>
      <c r="J4" s="3" t="inlineStr">
        <is>
          <t>TAKEN</t>
        </is>
      </c>
      <c r="K4" s="13">
        <f>L36</f>
        <v/>
      </c>
      <c r="L4" s="13">
        <f>M36</f>
        <v/>
      </c>
      <c r="M4" s="13">
        <f>N36</f>
        <v/>
      </c>
      <c r="N4" s="13">
        <f>O36</f>
        <v/>
      </c>
      <c r="O4" s="13">
        <f>P36</f>
        <v/>
      </c>
      <c r="P4" s="13">
        <f>Q36</f>
        <v/>
      </c>
      <c r="Q4" s="13">
        <f>R36</f>
        <v/>
      </c>
      <c r="R4" s="13">
        <f>S36</f>
        <v/>
      </c>
      <c r="S4" s="13">
        <f>T36</f>
        <v/>
      </c>
      <c r="T4" s="14">
        <f>SUM(U29:U34) + SUM(U39:U44) + SUM(U73:U78) + SUM(U82:U87) + SUM(U100:U105) + SUM(U109:U114)</f>
        <v/>
      </c>
    </row>
    <row r="5">
      <c r="B5" s="1" t="inlineStr">
        <is>
          <t>UNSUCCESSFUL</t>
        </is>
      </c>
      <c r="C5" s="10">
        <f>O12</f>
        <v/>
      </c>
      <c r="E5" s="15" t="inlineStr">
        <is>
          <t>Tier 2</t>
        </is>
      </c>
      <c r="F5" s="16" t="inlineStr">
        <is>
          <t>&gt;=$25000</t>
        </is>
      </c>
      <c r="G5" s="17">
        <f>0.1</f>
        <v/>
      </c>
      <c r="J5" s="7" t="inlineStr">
        <is>
          <t>%</t>
        </is>
      </c>
      <c r="K5" s="18">
        <f>L36/L35</f>
        <v/>
      </c>
      <c r="L5" s="18">
        <f>M36/M35</f>
        <v/>
      </c>
      <c r="M5" s="18">
        <f>N36/N35</f>
        <v/>
      </c>
      <c r="N5" s="18">
        <f>O36/O35</f>
        <v/>
      </c>
      <c r="O5" s="18">
        <f>P36/P35</f>
        <v/>
      </c>
      <c r="P5" s="18">
        <f>Q36/Q35</f>
        <v/>
      </c>
      <c r="Q5" s="18">
        <f>R36/R35</f>
        <v/>
      </c>
      <c r="R5" s="18">
        <f>S36/S35</f>
        <v/>
      </c>
      <c r="S5" s="18">
        <f>T36/T35</f>
        <v/>
      </c>
      <c r="T5" s="19" t="n"/>
    </row>
    <row r="6">
      <c r="B6" s="1" t="inlineStr">
        <is>
          <t>SUCCESSFUL (%)</t>
        </is>
      </c>
      <c r="C6" s="20">
        <f>O13</f>
        <v/>
      </c>
    </row>
    <row r="7">
      <c r="C7" s="21" t="n"/>
      <c r="F7" s="3" t="inlineStr">
        <is>
          <t>ACTUAL</t>
        </is>
      </c>
      <c r="G7" s="6" t="inlineStr">
        <is>
          <t>POTENTIAL</t>
        </is>
      </c>
      <c r="H7" s="22" t="inlineStr">
        <is>
          <t>Exc. SUPER</t>
        </is>
      </c>
    </row>
    <row r="8">
      <c r="B8" s="7" t="inlineStr">
        <is>
          <t>AVERAGE SALE</t>
        </is>
      </c>
      <c r="C8" s="23">
        <f>O14</f>
        <v/>
      </c>
      <c r="E8" s="3" t="inlineStr">
        <is>
          <t>NET PROFIT</t>
        </is>
      </c>
      <c r="F8" s="24">
        <f>P10-R10</f>
        <v/>
      </c>
      <c r="G8" s="25">
        <f>SUM(I29:I34) + SUM(I73:I78) + SUM(I100:I105) + SUM(I127:I132)</f>
        <v/>
      </c>
      <c r="K8" s="3" t="inlineStr">
        <is>
          <t>DAILY NET PROFIT</t>
        </is>
      </c>
      <c r="L8" s="4" t="n"/>
      <c r="M8" s="4" t="n"/>
      <c r="N8" s="4" t="n"/>
      <c r="O8" s="4" t="n"/>
      <c r="P8" s="4" t="n"/>
      <c r="Q8" s="4" t="n"/>
      <c r="R8" s="26" t="inlineStr">
        <is>
          <t>WEEKDAY</t>
        </is>
      </c>
      <c r="S8" s="27" t="inlineStr">
        <is>
          <t>WEEKEND</t>
        </is>
      </c>
    </row>
    <row r="9">
      <c r="E9" s="13" t="inlineStr">
        <is>
          <t>UNLOCKED</t>
        </is>
      </c>
      <c r="F9" s="28">
        <f>IF(P10&gt;=25000,G5,G4)</f>
        <v/>
      </c>
      <c r="G9" s="29">
        <f>=IF(G8&gt;=25000,G5,G4)</f>
        <v/>
      </c>
      <c r="K9" s="3" t="inlineStr">
        <is>
          <t>MON</t>
        </is>
      </c>
      <c r="L9" s="30" t="inlineStr">
        <is>
          <t>TUE</t>
        </is>
      </c>
      <c r="M9" s="30" t="inlineStr">
        <is>
          <t>WED</t>
        </is>
      </c>
      <c r="N9" s="30" t="inlineStr">
        <is>
          <t>THU</t>
        </is>
      </c>
      <c r="O9" s="30" t="inlineStr">
        <is>
          <t>FRI</t>
        </is>
      </c>
      <c r="P9" s="30" t="inlineStr">
        <is>
          <t>Total</t>
        </is>
      </c>
      <c r="Q9" s="31" t="inlineStr">
        <is>
          <t>SAT</t>
        </is>
      </c>
      <c r="R9" s="26" t="inlineStr">
        <is>
          <t>Awaiting Payment</t>
        </is>
      </c>
      <c r="S9" s="27" t="inlineStr">
        <is>
          <t>Awaiting Payment</t>
        </is>
      </c>
    </row>
    <row r="10">
      <c r="E10" s="13" t="inlineStr">
        <is>
          <t>COMMISSION - PAY OUT</t>
        </is>
      </c>
      <c r="F10" s="32">
        <f>F8*F9</f>
        <v/>
      </c>
      <c r="G10" s="33">
        <f>G8*G9</f>
        <v/>
      </c>
      <c r="H10" s="34">
        <f>F10/1.12</f>
        <v/>
      </c>
      <c r="K10" s="35">
        <f>SUMIF(C29:C34, "24/11/2025", I29:I34) + SUMIF(C39:C44, "24/11/2025", I39:I44) + SUMIF(C73:C78, "24/11/2025", I73:I78) + SUMIF(C82:C87, "24/11/2025", I82:I87) + SUMIF(C100:C105, "24/11/2025", I100:I105) + SUMIF(C109:C114, "24/11/2025", I109:I114)</f>
        <v/>
      </c>
      <c r="L10" s="36">
        <f>SUMIF(C29:C34, "25/11/2025", I29:I34) + SUMIF(C39:C44, "25/11/2025", I39:I44) + SUMIF(C73:C78, "25/11/2025", I73:I78) + SUMIF(C82:C87, "25/11/2025", I82:I87) + SUMIF(C100:C105, "25/11/2025", I100:I105) + SUMIF(C109:C114, "25/11/2025", I109:I114)</f>
        <v/>
      </c>
      <c r="M10" s="36">
        <f>SUMIF(C29:C34, "26/11/2025", I29:I34) + SUMIF(C39:C44, "26/11/2025", I39:I44) + SUMIF(C73:C78, "26/11/2025", I73:I78) + SUMIF(C82:C87, "26/11/2025", I82:I87) + SUMIF(C100:C105, "26/11/2025", I100:I105) + SUMIF(C109:C114, "26/11/2025", I109:I114)</f>
        <v/>
      </c>
      <c r="N10" s="36">
        <f>SUMIF(C29:C34, "27/11/2025", I29:I34) + SUMIF(C39:C44, "27/11/2025", I39:I44) + SUMIF(C73:C78, "27/11/2025", I73:I78) + SUMIF(C82:C87, "27/11/2025", I82:I87) + SUMIF(C100:C105, "27/11/2025", I100:I105) + SUMIF(C109:C114, "27/11/2025", I109:I114)</f>
        <v/>
      </c>
      <c r="O10" s="36">
        <f>SUMIF(C29:C34, "28/11/2025", I29:I34) + SUMIF(C39:C44, "28/11/2025", I39:I44) + SUMIF(C73:C78, "28/11/2025", I73:I78) + SUMIF(C82:C87, "28/11/2025", I82:I87) + SUMIF(C100:C105, "28/11/2025", I100:I105) + SUMIF(C109:C114, "28/11/2025", I109:I114)</f>
        <v/>
      </c>
      <c r="P10" s="36">
        <f>SUM(J10:N10)</f>
        <v/>
      </c>
      <c r="Q10" s="37">
        <f>SUMIF(C29:C34, "29/11/2025", I29:I34) + SUMIF(C39:C44, "29/11/2025", I39:I44) + SUMIF(C73:C78, "29/11/2025", I73:I78) + SUMIF(C82:C87, "29/11/2025", I82:I87) + SUMIF(C100:C105, "29/11/2025", I100:I105) + SUMIF(C109:C114, "29/11/2025", I109:I114)</f>
        <v/>
      </c>
      <c r="R10" s="38">
        <f>SUM(I73:I78) + SUM(I100:I105)</f>
        <v/>
      </c>
      <c r="S10" s="39">
        <f>SUM(I82:I87) + SUM(I109:I114)</f>
        <v/>
      </c>
    </row>
    <row r="11">
      <c r="E11" s="13" t="inlineStr">
        <is>
          <t>EMERGENCY</t>
        </is>
      </c>
      <c r="F11" s="32">
        <f>P10</f>
        <v/>
      </c>
      <c r="G11" s="21" t="n"/>
      <c r="J11" t="inlineStr">
        <is>
          <t>Successful</t>
        </is>
      </c>
      <c r="K11">
        <f>COUNTIF(C29:C34, "24/11/2025") + COUNTIF(C39:C44, "24/11/2025") + COUNTIF(C73:C78, "24/11/2025") + COUNTIF(C82:C87, "24/11/2025") + COUNTIF(C100:C105, "24/11/2025") + COUNTIF(C109:C114, "24/11/2025")</f>
        <v/>
      </c>
      <c r="L11">
        <f>COUNTIF(C29:C34, "25/11/2025") + COUNTIF(C39:C44, "25/11/2025") + COUNTIF(C73:C78, "25/11/2025") + COUNTIF(C82:C87, "25/11/2025") + COUNTIF(C100:C105, "25/11/2025") + COUNTIF(C109:C114, "25/11/2025")</f>
        <v/>
      </c>
      <c r="M11">
        <f>COUNTIF(C29:C34, "26/11/2025") + COUNTIF(C39:C44, "26/11/2025") + COUNTIF(C73:C78, "26/11/2025") + COUNTIF(C82:C87, "26/11/2025") + COUNTIF(C100:C105, "26/11/2025") + COUNTIF(C109:C114, "26/11/2025")</f>
        <v/>
      </c>
      <c r="N11">
        <f>COUNTIF(C29:C34, "27/11/2025") + COUNTIF(C39:C44, "27/11/2025") + COUNTIF(C73:C78, "27/11/2025") + COUNTIF(C82:C87, "27/11/2025") + COUNTIF(C100:C105, "27/11/2025") + COUNTIF(C109:C114, "27/11/2025")</f>
        <v/>
      </c>
      <c r="O11">
        <f>COUNTIF(C29:C34, "28/11/2025") + COUNTIF(C39:C44, "28/11/2025") + COUNTIF(C73:C78, "28/11/2025") + COUNTIF(C82:C87, "28/11/2025") + COUNTIF(C100:C105, "28/11/2025") + COUNTIF(C109:C114, "28/11/2025")</f>
        <v/>
      </c>
      <c r="P11">
        <f>SUM(K11:O11)</f>
        <v/>
      </c>
      <c r="Q11">
        <f>COUNTIF(C29:C34, "29/11/2025") + COUNTIF(C39:C44, "29/11/2025") + COUNTIF(C73:C78, "29/11/2025") + COUNTIF(C82:C87, "29/11/2025") + COUNTIF(C100:C105, "29/11/2025") + COUNTIF(C109:C114, "29/11/2025")</f>
        <v/>
      </c>
    </row>
    <row r="12">
      <c r="E12" s="13" t="inlineStr">
        <is>
          <t>EMERGENCY - PAY OUT</t>
        </is>
      </c>
      <c r="F12" s="32">
        <f>F11*0.25</f>
        <v/>
      </c>
      <c r="G12" s="21" t="n"/>
      <c r="H12" s="34">
        <f>F12/1.12</f>
        <v/>
      </c>
      <c r="J12" t="inlineStr">
        <is>
          <t>Unsuccessful</t>
        </is>
      </c>
      <c r="K12">
        <f>COUNTIF(C127:C132, "24/11/2025") + COUNTIF(C136:C141, "24/11/2025")</f>
        <v/>
      </c>
      <c r="L12">
        <f>COUNTIF(C127:C132, "25/11/2025") + COUNTIF(C136:C141, "25/11/2025")</f>
        <v/>
      </c>
      <c r="M12">
        <f>COUNTIF(C127:C132, "26/11/2025") + COUNTIF(C136:C141, "26/11/2025")</f>
        <v/>
      </c>
      <c r="N12">
        <f>COUNTIF(C127:C132, "27/11/2025") + COUNTIF(C136:C141, "27/11/2025")</f>
        <v/>
      </c>
      <c r="O12">
        <f>COUNTIF(C127:C132, "28/11/2025") + COUNTIF(C136:C141, "28/11/2025")</f>
        <v/>
      </c>
      <c r="P12">
        <f>SUM(K12:O12)</f>
        <v/>
      </c>
      <c r="Q12">
        <f>COUNTIF(C127:C132, "29/11/2025") + COUNTIF(C136:C141, "29/11/2025")</f>
        <v/>
      </c>
    </row>
    <row r="13">
      <c r="E13" s="13" t="inlineStr">
        <is>
          <t>PREV. WEEK</t>
        </is>
      </c>
      <c r="F13" s="11" t="n">
        <v>0</v>
      </c>
      <c r="G13" s="40" t="n">
        <v>0</v>
      </c>
      <c r="J13" t="inlineStr">
        <is>
          <t>Success rate</t>
        </is>
      </c>
      <c r="K13" s="41">
        <f>K11/(K11+K12)</f>
        <v/>
      </c>
      <c r="L13" s="41">
        <f>L11/(L11+L12)</f>
        <v/>
      </c>
      <c r="M13" s="41">
        <f>M11/(M11+M12)</f>
        <v/>
      </c>
      <c r="N13" s="41">
        <f>N11/(N11+N12)</f>
        <v/>
      </c>
      <c r="O13" s="41">
        <f>O11/(O11+O12)</f>
        <v/>
      </c>
      <c r="P13" s="41">
        <f>P11/(P11+P12)</f>
        <v/>
      </c>
      <c r="Q13" s="41">
        <f>Q11/(Q11+Q12)</f>
        <v/>
      </c>
    </row>
    <row r="14">
      <c r="E14" s="7" t="inlineStr">
        <is>
          <t>PREV. WEEK - PAY OUT</t>
        </is>
      </c>
      <c r="F14" s="42">
        <f>F13*0.05</f>
        <v/>
      </c>
      <c r="G14" s="43">
        <f>=G13*0.05</f>
        <v/>
      </c>
      <c r="H14" s="34">
        <f>F14/1.12</f>
        <v/>
      </c>
      <c r="J14" t="inlineStr">
        <is>
          <t>Avg sale</t>
        </is>
      </c>
      <c r="K14" s="44">
        <f>K10/K11</f>
        <v/>
      </c>
      <c r="L14" s="44">
        <f>L10/L11</f>
        <v/>
      </c>
      <c r="M14" s="44">
        <f>M10/M11</f>
        <v/>
      </c>
      <c r="N14" s="44">
        <f>N10/N11</f>
        <v/>
      </c>
      <c r="O14" s="44">
        <f>O10/O11</f>
        <v/>
      </c>
      <c r="P14" s="44">
        <f>P10/P11</f>
        <v/>
      </c>
      <c r="Q14" s="44">
        <f>Q10/Q11</f>
        <v/>
      </c>
    </row>
    <row r="15">
      <c r="E15" s="45" t="inlineStr">
        <is>
          <t>5 Star Review</t>
        </is>
      </c>
      <c r="F15" s="32">
        <f>F16*50</f>
        <v/>
      </c>
    </row>
    <row r="16">
      <c r="E16" s="45" t="inlineStr">
        <is>
          <t>5 Star Notes</t>
        </is>
      </c>
      <c r="F16" s="11">
        <f>T4</f>
        <v/>
      </c>
      <c r="K16" s="46" t="inlineStr">
        <is>
          <t>Management Summary - SALES ONLY - COLUMN F</t>
        </is>
      </c>
      <c r="L16" s="47" t="n"/>
      <c r="M16" s="47" t="n"/>
      <c r="N16" s="47" t="n"/>
      <c r="O16" s="47" t="n"/>
      <c r="P16" s="47" t="n"/>
      <c r="Q16" s="47" t="n"/>
      <c r="R16" s="48" t="inlineStr">
        <is>
          <t>WEEKDAY</t>
        </is>
      </c>
      <c r="S16" s="49" t="inlineStr">
        <is>
          <t>WEEKEND</t>
        </is>
      </c>
    </row>
    <row r="17">
      <c r="K17" s="3" t="inlineStr">
        <is>
          <t>MON</t>
        </is>
      </c>
      <c r="L17" s="30" t="inlineStr">
        <is>
          <t>TUE</t>
        </is>
      </c>
      <c r="M17" s="30" t="inlineStr">
        <is>
          <t>WED</t>
        </is>
      </c>
      <c r="N17" s="30" t="inlineStr">
        <is>
          <t>THU</t>
        </is>
      </c>
      <c r="O17" s="30" t="inlineStr">
        <is>
          <t>FRI</t>
        </is>
      </c>
      <c r="P17" s="30" t="inlineStr">
        <is>
          <t>Total</t>
        </is>
      </c>
      <c r="Q17" s="31" t="inlineStr">
        <is>
          <t>SAT</t>
        </is>
      </c>
      <c r="R17" s="26" t="inlineStr">
        <is>
          <t>Awaiting Payment</t>
        </is>
      </c>
      <c r="S17" s="27" t="inlineStr">
        <is>
          <t>Awaiting Payment</t>
        </is>
      </c>
    </row>
    <row r="18">
      <c r="K18" s="35">
        <f>SUMIF(C29:C34, "24/11/2025", F29:F34) + SUMIF(C39:C44, "24/11/2025", F39:F44) + SUMIF(C73:C78, "24/11/2025", F73:F78) + SUMIF(C82:C87, "24/11/2025", F82:F87) + SUMIF(C100:C105, "24/11/2025", F100:F105) + SUMIF(C109:C114, "24/11/2025", F109:F114)</f>
        <v/>
      </c>
      <c r="L18" s="36">
        <f>SUMIF(C29:C34, "25/11/2025", F29:F34) + SUMIF(C39:C44, "25/11/2025", F39:F44) + SUMIF(C73:C78, "25/11/2025", F73:F78) + SUMIF(C82:C87, "25/11/2025", F82:F87) + SUMIF(C100:C105, "25/11/2025", F100:F105) + SUMIF(C109:C114, "25/11/2025", F109:F114)</f>
        <v/>
      </c>
      <c r="M18" s="36">
        <f>SUMIF(C29:C34, "26/11/2025", F29:F34) + SUMIF(C39:C44, "26/11/2025", F39:F44) + SUMIF(C73:C78, "26/11/2025", F73:F78) + SUMIF(C82:C87, "26/11/2025", F82:F87) + SUMIF(C100:C105, "26/11/2025", F100:F105) + SUMIF(C109:C114, "26/11/2025", F109:F114)</f>
        <v/>
      </c>
      <c r="N18" s="36">
        <f>SUMIF(C29:C34, "27/11/2025", F29:F34) + SUMIF(C39:C44, "27/11/2025", F39:F44) + SUMIF(C73:C78, "27/11/2025", F73:F78) + SUMIF(C82:C87, "27/11/2025", F82:F87) + SUMIF(C100:C105, "27/11/2025", F100:F105) + SUMIF(C109:C114, "27/11/2025", F109:F114)</f>
        <v/>
      </c>
      <c r="O18" s="36">
        <f>SUMIF(C29:C34, "28/11/2025", F29:F34) + SUMIF(C39:C44, "28/11/2025", F39:F44) + SUMIF(C73:C78, "28/11/2025", F73:F78) + SUMIF(C82:C87, "28/11/2025", F82:F87) + SUMIF(C100:C105, "28/11/2025", F100:F105) + SUMIF(C109:C114, "28/11/2025", F109:F114)</f>
        <v/>
      </c>
      <c r="P18" s="36">
        <f>SUM(K18:O18)</f>
        <v/>
      </c>
      <c r="Q18" s="37">
        <f>SUMIF(C29:C34, "29/11/2025", F29:F34) + SUMIF(C39:C44, "29/11/2025", F39:F44) + SUMIF(C73:C78, "29/11/2025", F73:F78) + SUMIF(C82:C87, "29/11/2025", F82:F87) + SUMIF(C100:C105, "29/11/2025", F100:F105) + SUMIF(C109:C114, "29/11/2025", F109:F114)</f>
        <v/>
      </c>
      <c r="R18" s="38">
        <f>SUM(F73:F78) + SUM(F100:F105)</f>
        <v/>
      </c>
      <c r="S18" s="39">
        <f>SUM(F82:F87) + SUM(F109:F114)</f>
        <v/>
      </c>
    </row>
    <row r="19">
      <c r="J19" t="inlineStr">
        <is>
          <t>Successful</t>
        </is>
      </c>
      <c r="K19">
        <f>K11</f>
        <v/>
      </c>
      <c r="L19">
        <f>L11</f>
        <v/>
      </c>
      <c r="M19">
        <f>M11</f>
        <v/>
      </c>
      <c r="N19">
        <f>N11</f>
        <v/>
      </c>
      <c r="O19">
        <f>O11</f>
        <v/>
      </c>
      <c r="P19">
        <f>P11</f>
        <v/>
      </c>
      <c r="Q19">
        <f>Q11</f>
        <v/>
      </c>
    </row>
    <row r="20">
      <c r="J20" t="inlineStr">
        <is>
          <t>Unsuccessful</t>
        </is>
      </c>
      <c r="K20">
        <f>K12</f>
        <v/>
      </c>
      <c r="L20">
        <f>L12</f>
        <v/>
      </c>
      <c r="M20">
        <f>M12</f>
        <v/>
      </c>
      <c r="N20">
        <f>N12</f>
        <v/>
      </c>
      <c r="O20">
        <f>O12</f>
        <v/>
      </c>
      <c r="P20">
        <f>P12</f>
        <v/>
      </c>
      <c r="Q20">
        <f>Q12</f>
        <v/>
      </c>
    </row>
    <row r="21">
      <c r="J21" t="inlineStr">
        <is>
          <t>Success rate</t>
        </is>
      </c>
      <c r="K21" s="41">
        <f>K13</f>
        <v/>
      </c>
      <c r="L21" s="41">
        <f>L13</f>
        <v/>
      </c>
      <c r="M21" s="41">
        <f>M13</f>
        <v/>
      </c>
      <c r="N21" s="41">
        <f>N13</f>
        <v/>
      </c>
      <c r="O21" s="41">
        <f>O13</f>
        <v/>
      </c>
      <c r="P21" s="41">
        <f>P13</f>
        <v/>
      </c>
      <c r="Q21" s="41">
        <f>Q13</f>
        <v/>
      </c>
    </row>
    <row r="22">
      <c r="J22" t="inlineStr">
        <is>
          <t>Avg sale</t>
        </is>
      </c>
      <c r="K22" s="44">
        <f>K18/K19</f>
        <v/>
      </c>
      <c r="L22" s="44">
        <f>L18/L19</f>
        <v/>
      </c>
      <c r="M22" s="44">
        <f>M18/M19</f>
        <v/>
      </c>
      <c r="N22" s="44">
        <f>N18/N19</f>
        <v/>
      </c>
      <c r="O22" s="44">
        <f>O18/O19</f>
        <v/>
      </c>
      <c r="P22" s="44">
        <f>P18/P19</f>
        <v/>
      </c>
      <c r="Q22" s="44">
        <f>Q18/Q19</f>
        <v/>
      </c>
    </row>
    <row r="26">
      <c r="B26" s="50" t="inlineStr">
        <is>
          <t>JOB DETAILS</t>
        </is>
      </c>
      <c r="C26" s="4" t="n"/>
      <c r="D26" s="4" t="n"/>
      <c r="E26" s="4" t="n"/>
      <c r="F26" s="50" t="inlineStr">
        <is>
          <t>JOB AMOUNT</t>
        </is>
      </c>
      <c r="G26" s="4" t="n"/>
      <c r="H26" s="4" t="n"/>
      <c r="I26" s="4" t="n"/>
      <c r="J26" s="4" t="n"/>
      <c r="K26" s="50" t="n"/>
      <c r="L26" s="50" t="inlineStr">
        <is>
          <t>PHOTOS</t>
        </is>
      </c>
      <c r="M26" s="4" t="n"/>
      <c r="N26" s="4" t="n"/>
      <c r="O26" s="50" t="inlineStr">
        <is>
          <t>QUOTE</t>
        </is>
      </c>
      <c r="P26" s="4" t="n"/>
      <c r="Q26" s="4" t="n"/>
      <c r="R26" s="50" t="inlineStr">
        <is>
          <t>INVOICE</t>
        </is>
      </c>
      <c r="S26" s="4" t="n"/>
      <c r="T26" s="4" t="n"/>
      <c r="U26" s="4" t="n"/>
      <c r="V26" s="5" t="inlineStr">
        <is>
          <t>NOTES</t>
        </is>
      </c>
    </row>
    <row r="27">
      <c r="B27" s="15" t="inlineStr">
        <is>
          <t>JOB STATUS</t>
        </is>
      </c>
      <c r="C27" s="16" t="inlineStr">
        <is>
          <t>DATE</t>
        </is>
      </c>
      <c r="D27" s="16" t="inlineStr">
        <is>
          <t>JOB #</t>
        </is>
      </c>
      <c r="E27" s="51" t="inlineStr">
        <is>
          <t>SUBURB</t>
        </is>
      </c>
      <c r="F27" s="16" t="inlineStr">
        <is>
          <t>AMOUNT EXC. GST</t>
        </is>
      </c>
      <c r="G27" s="16" t="inlineStr">
        <is>
          <t>MATERIALS</t>
        </is>
      </c>
      <c r="H27" s="16" t="inlineStr">
        <is>
          <t>MERCHANT FEES</t>
        </is>
      </c>
      <c r="I27" s="16" t="inlineStr">
        <is>
          <t>NET PROFIT</t>
        </is>
      </c>
      <c r="J27" s="51" t="inlineStr">
        <is>
          <t>PAID</t>
        </is>
      </c>
      <c r="K27" s="51" t="inlineStr">
        <is>
          <t>DOC CHECK DONE</t>
        </is>
      </c>
      <c r="L27" s="16" t="inlineStr">
        <is>
          <t>BEFORE</t>
        </is>
      </c>
      <c r="M27" s="16" t="inlineStr">
        <is>
          <t>AFTER</t>
        </is>
      </c>
      <c r="N27" s="51" t="inlineStr">
        <is>
          <t>RECEIPT</t>
        </is>
      </c>
      <c r="O27" s="16" t="inlineStr">
        <is>
          <t>DESCRIPTION</t>
        </is>
      </c>
      <c r="P27" s="16" t="inlineStr">
        <is>
          <t>SIGNED</t>
        </is>
      </c>
      <c r="Q27" s="51" t="inlineStr">
        <is>
          <t>EMAILED</t>
        </is>
      </c>
      <c r="R27" s="16" t="inlineStr">
        <is>
          <t>DESCRIPTION</t>
        </is>
      </c>
      <c r="S27" s="16" t="inlineStr">
        <is>
          <t>SIGNED</t>
        </is>
      </c>
      <c r="T27" s="51" t="inlineStr">
        <is>
          <t>EMAILED</t>
        </is>
      </c>
      <c r="U27" s="16" t="inlineStr">
        <is>
          <t>5 Star Review</t>
        </is>
      </c>
      <c r="V27" s="51" t="n"/>
      <c r="W27" s="52" t="inlineStr">
        <is>
          <t>EFTPOS</t>
        </is>
      </c>
      <c r="X27" s="52" t="inlineStr">
        <is>
          <t>CASH</t>
        </is>
      </c>
      <c r="Y27" s="52" t="inlineStr">
        <is>
          <t>Payment Plan</t>
        </is>
      </c>
    </row>
    <row r="28">
      <c r="B28" t="inlineStr">
        <is>
          <t>COMPLETED &amp; PAID JOBS</t>
        </is>
      </c>
      <c r="W28" s="52" t="n"/>
      <c r="X28" s="52" t="n"/>
      <c r="Y28" s="52" t="n"/>
    </row>
    <row r="29">
      <c r="W29" s="52" t="n"/>
      <c r="X29" s="52" t="n"/>
      <c r="Y29" s="52" t="n"/>
    </row>
    <row r="30">
      <c r="W30" s="52" t="n"/>
      <c r="X30" s="52" t="n"/>
      <c r="Y30" s="52" t="n"/>
    </row>
    <row r="31">
      <c r="W31" s="52" t="n"/>
      <c r="X31" s="52" t="n"/>
      <c r="Y31" s="52" t="n"/>
    </row>
    <row r="32">
      <c r="W32" s="52" t="n"/>
      <c r="X32" s="52" t="n"/>
      <c r="Y32" s="52" t="n"/>
    </row>
    <row r="33">
      <c r="W33" s="52" t="n"/>
      <c r="X33" s="52" t="n"/>
      <c r="Y33" s="52" t="n"/>
    </row>
    <row r="34">
      <c r="W34" s="52" t="n"/>
      <c r="X34" s="52" t="n"/>
      <c r="Y34" s="52" t="n"/>
    </row>
    <row r="35">
      <c r="F35" s="56">
        <f>SUM(F29:F34)</f>
        <v/>
      </c>
      <c r="G35" s="56">
        <f>SUM(G29:G34)</f>
        <v/>
      </c>
      <c r="H35" s="56">
        <f>SUM(H29:H34)</f>
        <v/>
      </c>
      <c r="I35" s="56">
        <f>SUM(I29:I34)</f>
        <v/>
      </c>
      <c r="L35">
        <f>COUNT(L29:L34)</f>
        <v/>
      </c>
      <c r="M35">
        <f>COUNT(M29:M34)</f>
        <v/>
      </c>
      <c r="N35">
        <f>COUNT(N29:N34)</f>
        <v/>
      </c>
      <c r="O35">
        <f>COUNT(O29:O34)</f>
        <v/>
      </c>
      <c r="P35">
        <f>COUNT(P29:P34)</f>
        <v/>
      </c>
      <c r="Q35">
        <f>COUNT(Q29:Q34)</f>
        <v/>
      </c>
      <c r="R35">
        <f>COUNT(R29:R34)</f>
        <v/>
      </c>
      <c r="S35">
        <f>COUNT(S29:S34)</f>
        <v/>
      </c>
      <c r="T35">
        <f>COUNT(T29:T34)</f>
        <v/>
      </c>
      <c r="U35">
        <f>COUNT(U29:U34)</f>
        <v/>
      </c>
      <c r="W35" s="52" t="n"/>
      <c r="X35" s="52" t="n"/>
      <c r="Y35" s="52" t="n"/>
    </row>
    <row r="36">
      <c r="L36">
        <f>SUM(L29:L34)</f>
        <v/>
      </c>
      <c r="M36">
        <f>SUM(M29:M34)</f>
        <v/>
      </c>
      <c r="N36">
        <f>SUM(N29:N34)</f>
        <v/>
      </c>
      <c r="O36">
        <f>SUM(O29:O34)</f>
        <v/>
      </c>
      <c r="P36">
        <f>SUM(P29:P34)</f>
        <v/>
      </c>
      <c r="Q36">
        <f>SUM(Q29:Q34)</f>
        <v/>
      </c>
      <c r="R36">
        <f>SUM(R29:R34)</f>
        <v/>
      </c>
      <c r="S36">
        <f>SUM(S29:S34)</f>
        <v/>
      </c>
      <c r="T36">
        <f>SUM(T29:T34)</f>
        <v/>
      </c>
      <c r="U36">
        <f>SUM(U29:U34)</f>
        <v/>
      </c>
      <c r="W36" s="52" t="n"/>
      <c r="X36" s="52" t="n"/>
      <c r="Y36" s="52" t="n"/>
    </row>
    <row r="37">
      <c r="W37" s="52" t="n"/>
      <c r="X37" s="52" t="n"/>
      <c r="Y37" s="52" t="n"/>
    </row>
    <row r="38">
      <c r="B38" t="inlineStr">
        <is>
          <t>WEEKEND COMPLETED &amp; PAID JOBS</t>
        </is>
      </c>
      <c r="W38" s="52" t="n"/>
      <c r="X38" s="52" t="n"/>
      <c r="Y38" s="52" t="n"/>
    </row>
    <row r="39">
      <c r="W39" s="52" t="n"/>
      <c r="X39" s="52" t="n"/>
      <c r="Y39" s="52" t="n"/>
    </row>
    <row r="40">
      <c r="W40" s="52" t="n"/>
      <c r="X40" s="52" t="n"/>
      <c r="Y40" s="52" t="n"/>
    </row>
    <row r="41">
      <c r="W41" s="52" t="n"/>
      <c r="X41" s="52" t="n"/>
      <c r="Y41" s="52" t="n"/>
    </row>
    <row r="42">
      <c r="W42" s="52" t="n"/>
      <c r="X42" s="52" t="n"/>
      <c r="Y42" s="52" t="n"/>
    </row>
    <row r="43">
      <c r="W43" s="52" t="n"/>
      <c r="X43" s="52" t="n"/>
      <c r="Y43" s="52" t="n"/>
    </row>
    <row r="44">
      <c r="W44" s="52" t="n"/>
      <c r="X44" s="52" t="n"/>
      <c r="Y44" s="52" t="n"/>
    </row>
    <row r="45">
      <c r="F45" s="56">
        <f>SUM(F39:F44)</f>
        <v/>
      </c>
      <c r="G45" s="56">
        <f>SUM(G39:G44)</f>
        <v/>
      </c>
      <c r="H45" s="56">
        <f>SUM(H39:H44)</f>
        <v/>
      </c>
      <c r="I45" s="56">
        <f>SUM(I39:I44)</f>
        <v/>
      </c>
      <c r="W45" s="52" t="n"/>
      <c r="X45" s="52" t="n"/>
      <c r="Y45" s="52" t="n"/>
    </row>
    <row r="46">
      <c r="W46" s="52" t="n"/>
      <c r="X46" s="52" t="n"/>
      <c r="Y46" s="52" t="n"/>
    </row>
    <row r="47">
      <c r="B47" t="inlineStr">
        <is>
          <t>AFTERHOURS COMPLETED &amp; PAID JOBS</t>
        </is>
      </c>
      <c r="W47" s="52" t="n"/>
      <c r="X47" s="52" t="n"/>
      <c r="Y47" s="52" t="n"/>
    </row>
    <row r="48">
      <c r="W48" s="52" t="n"/>
      <c r="X48" s="52" t="n"/>
      <c r="Y48" s="52" t="n"/>
    </row>
    <row r="49">
      <c r="W49" s="52" t="n"/>
      <c r="X49" s="52" t="n"/>
      <c r="Y49" s="52" t="n"/>
    </row>
    <row r="50">
      <c r="W50" s="52" t="n"/>
      <c r="X50" s="52" t="n"/>
      <c r="Y50" s="52" t="n"/>
    </row>
    <row r="51">
      <c r="W51" s="52" t="n"/>
      <c r="X51" s="52" t="n"/>
      <c r="Y51" s="52" t="n"/>
    </row>
    <row r="52">
      <c r="W52" s="52" t="n"/>
      <c r="X52" s="52" t="n"/>
      <c r="Y52" s="52" t="n"/>
    </row>
    <row r="53">
      <c r="W53" s="52" t="n"/>
      <c r="X53" s="52" t="n"/>
      <c r="Y53" s="52" t="n"/>
    </row>
    <row r="54">
      <c r="F54" s="56">
        <f>SUM(F48:F53)</f>
        <v/>
      </c>
      <c r="G54" s="56">
        <f>SUM(G48:G53)</f>
        <v/>
      </c>
      <c r="H54" s="56">
        <f>SUM(H48:H53)</f>
        <v/>
      </c>
      <c r="I54" s="56">
        <f>SUM(I48:I53)</f>
        <v/>
      </c>
      <c r="W54" s="52" t="n"/>
      <c r="X54" s="52" t="n"/>
      <c r="Y54" s="52" t="n"/>
    </row>
    <row r="55">
      <c r="W55" s="52" t="n"/>
      <c r="X55" s="52" t="n"/>
      <c r="Y55" s="52" t="n"/>
    </row>
    <row r="56">
      <c r="A56" s="57" t="n"/>
      <c r="B56" s="57" t="inlineStr">
        <is>
          <t>PREVIOUS JOBS COMPLETED &amp; PAID (COMMISSION) - Modoras Team Please do ADD to THIS SECTION or AMEND/TOUCH</t>
        </is>
      </c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8" t="n"/>
      <c r="X56" s="58" t="n"/>
      <c r="Y56" s="52" t="n"/>
    </row>
    <row r="57">
      <c r="A57" s="57" t="n"/>
      <c r="B57" s="57" t="n">
        <v>1</v>
      </c>
      <c r="C57" s="57" t="n"/>
      <c r="D57" s="57" t="n"/>
      <c r="E57" s="57" t="n"/>
      <c r="F57" s="57" t="n"/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8" t="n"/>
      <c r="X57" s="58" t="n"/>
      <c r="Y57" s="52" t="n"/>
    </row>
    <row r="58">
      <c r="A58" s="57" t="n"/>
      <c r="B58" s="57" t="n">
        <v>2</v>
      </c>
      <c r="C58" s="57" t="n"/>
      <c r="D58" s="57" t="n"/>
      <c r="E58" s="57" t="n"/>
      <c r="F58" s="57" t="n"/>
      <c r="G58" s="57" t="n"/>
      <c r="H58" s="57" t="n"/>
      <c r="I58" s="57" t="n"/>
      <c r="J58" s="57" t="n"/>
      <c r="K58" s="57" t="n"/>
      <c r="L58" s="57" t="n"/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8" t="n"/>
      <c r="X58" s="58" t="n"/>
      <c r="Y58" s="52" t="n"/>
    </row>
    <row r="59">
      <c r="A59" s="57" t="n"/>
      <c r="B59" s="57" t="n">
        <v>3</v>
      </c>
      <c r="C59" s="57" t="n"/>
      <c r="D59" s="57" t="n"/>
      <c r="E59" s="57" t="n"/>
      <c r="F59" s="57" t="n"/>
      <c r="G59" s="57" t="n"/>
      <c r="H59" s="57" t="n"/>
      <c r="I59" s="57" t="n"/>
      <c r="J59" s="57" t="n"/>
      <c r="K59" s="57" t="n"/>
      <c r="L59" s="57" t="n"/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8" t="n"/>
      <c r="X59" s="58" t="n"/>
      <c r="Y59" s="52" t="n"/>
    </row>
    <row r="60">
      <c r="A60" s="57" t="n"/>
      <c r="B60" s="57" t="n">
        <v>4</v>
      </c>
      <c r="C60" s="57" t="n"/>
      <c r="D60" s="57" t="n"/>
      <c r="E60" s="57" t="n"/>
      <c r="F60" s="57" t="n"/>
      <c r="G60" s="57" t="n"/>
      <c r="H60" s="57" t="n"/>
      <c r="I60" s="57" t="n"/>
      <c r="J60" s="57" t="n"/>
      <c r="K60" s="57" t="n"/>
      <c r="L60" s="57" t="n"/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8" t="n"/>
      <c r="X60" s="58" t="n"/>
      <c r="Y60" s="52" t="n"/>
    </row>
    <row r="61">
      <c r="A61" s="57" t="n"/>
      <c r="B61" s="57" t="n">
        <v>5</v>
      </c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8" t="n"/>
      <c r="X61" s="58" t="n"/>
      <c r="Y61" s="52" t="n"/>
    </row>
    <row r="62">
      <c r="A62" s="57" t="n"/>
      <c r="B62" s="57" t="n">
        <v>6</v>
      </c>
      <c r="C62" s="57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8" t="n"/>
      <c r="X62" s="58" t="n"/>
      <c r="Y62" s="52" t="n"/>
    </row>
    <row r="63">
      <c r="A63" s="57" t="n"/>
      <c r="B63" s="57" t="n">
        <v>7</v>
      </c>
      <c r="C63" s="57" t="n"/>
      <c r="D63" s="57" t="n"/>
      <c r="E63" s="57" t="n"/>
      <c r="F63" s="57" t="n"/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8" t="n"/>
      <c r="X63" s="58" t="n"/>
      <c r="Y63" s="52" t="n"/>
    </row>
    <row r="64">
      <c r="A64" s="57" t="n"/>
      <c r="B64" s="57" t="n">
        <v>8</v>
      </c>
      <c r="C64" s="57" t="n"/>
      <c r="D64" s="57" t="n"/>
      <c r="E64" s="57" t="n"/>
      <c r="F64" s="57" t="n"/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8" t="n"/>
      <c r="X64" s="58" t="n"/>
      <c r="Y64" s="52" t="n"/>
    </row>
    <row r="65">
      <c r="W65" s="52" t="n"/>
      <c r="X65" s="52" t="n"/>
      <c r="Y65" s="52" t="n"/>
    </row>
    <row r="66">
      <c r="W66" s="52" t="n"/>
      <c r="X66" s="52" t="n"/>
      <c r="Y66" s="52" t="n"/>
    </row>
    <row r="67">
      <c r="W67" s="52" t="n"/>
      <c r="X67" s="52" t="n"/>
      <c r="Y67" s="52" t="n"/>
    </row>
    <row r="68">
      <c r="W68" s="52" t="n"/>
      <c r="X68" s="52" t="n"/>
      <c r="Y68" s="52" t="n"/>
    </row>
    <row r="69">
      <c r="W69" s="52" t="n"/>
      <c r="X69" s="52" t="n"/>
      <c r="Y69" s="52" t="n"/>
    </row>
    <row r="70">
      <c r="F70" s="56">
        <f>SUM(F57:F69)</f>
        <v/>
      </c>
      <c r="G70" s="56">
        <f>SUM(G57:G69)</f>
        <v/>
      </c>
      <c r="H70" s="56">
        <f>SUM(H57:H69)</f>
        <v/>
      </c>
      <c r="I70" s="56">
        <f>SUM(I57:I69)</f>
        <v/>
      </c>
      <c r="W70" s="52" t="n"/>
      <c r="X70" s="52" t="n"/>
      <c r="Y70" s="52" t="n"/>
    </row>
    <row r="71">
      <c r="W71" s="52" t="n"/>
      <c r="X71" s="52" t="n"/>
      <c r="Y71" s="52" t="n"/>
    </row>
    <row r="72">
      <c r="B72" s="59" t="inlineStr">
        <is>
          <t>CURRENT JOBS COMPLETED (AWAITING PAYMENT)</t>
        </is>
      </c>
      <c r="W72" s="52" t="n"/>
      <c r="X72" s="52" t="n"/>
      <c r="Y72" s="52" t="n"/>
    </row>
    <row r="73">
      <c r="W73" s="52" t="n"/>
      <c r="X73" s="52" t="n"/>
      <c r="Y73" s="52" t="n"/>
    </row>
    <row r="74">
      <c r="W74" s="52" t="n"/>
      <c r="X74" s="52" t="n"/>
      <c r="Y74" s="52" t="n"/>
    </row>
    <row r="75">
      <c r="W75" s="52" t="n"/>
      <c r="X75" s="52" t="n"/>
      <c r="Y75" s="52" t="n"/>
    </row>
    <row r="76">
      <c r="W76" s="52" t="n"/>
      <c r="X76" s="52" t="n"/>
      <c r="Y76" s="52" t="n"/>
    </row>
    <row r="77">
      <c r="W77" s="52" t="n"/>
      <c r="X77" s="52" t="n"/>
      <c r="Y77" s="52" t="n"/>
    </row>
    <row r="78">
      <c r="W78" s="52" t="n"/>
      <c r="X78" s="52" t="n"/>
      <c r="Y78" s="52" t="n"/>
    </row>
    <row r="79">
      <c r="F79" s="56">
        <f>SUM(F73:F78)</f>
        <v/>
      </c>
      <c r="G79" s="56">
        <f>SUM(G73:G78)</f>
        <v/>
      </c>
      <c r="H79" s="56">
        <f>SUM(H73:H78)</f>
        <v/>
      </c>
      <c r="I79" s="56">
        <f>SUM(I73:I78)</f>
        <v/>
      </c>
      <c r="W79" s="52" t="n"/>
      <c r="X79" s="52" t="n"/>
      <c r="Y79" s="52" t="n"/>
    </row>
    <row r="80">
      <c r="W80" s="52" t="n"/>
      <c r="X80" s="52" t="n"/>
      <c r="Y80" s="52" t="n"/>
    </row>
    <row r="81">
      <c r="B81" s="59" t="inlineStr">
        <is>
          <t>WEEKEND CURRENT JOBS COMPLETED (AWAITING PAYMENT)</t>
        </is>
      </c>
      <c r="W81" s="52" t="n"/>
      <c r="X81" s="52" t="n"/>
      <c r="Y81" s="52" t="n"/>
    </row>
    <row r="82">
      <c r="W82" s="52" t="n"/>
      <c r="X82" s="52" t="n"/>
      <c r="Y82" s="52" t="n"/>
    </row>
    <row r="83">
      <c r="W83" s="52" t="n"/>
      <c r="X83" s="52" t="n"/>
      <c r="Y83" s="52" t="n"/>
    </row>
    <row r="84">
      <c r="W84" s="52" t="n"/>
      <c r="X84" s="52" t="n"/>
      <c r="Y84" s="52" t="n"/>
    </row>
    <row r="85">
      <c r="W85" s="52" t="n"/>
      <c r="X85" s="52" t="n"/>
      <c r="Y85" s="52" t="n"/>
    </row>
    <row r="86">
      <c r="W86" s="52" t="n"/>
      <c r="X86" s="52" t="n"/>
      <c r="Y86" s="52" t="n"/>
    </row>
    <row r="87">
      <c r="W87" s="52" t="n"/>
      <c r="X87" s="52" t="n"/>
      <c r="Y87" s="52" t="n"/>
    </row>
    <row r="88">
      <c r="F88" s="56">
        <f>SUM(F82:F87)</f>
        <v/>
      </c>
      <c r="G88" s="56">
        <f>SUM(G82:G87)</f>
        <v/>
      </c>
      <c r="H88" s="56">
        <f>SUM(H82:H87)</f>
        <v/>
      </c>
      <c r="I88" s="56">
        <f>SUM(I82:I87)</f>
        <v/>
      </c>
      <c r="W88" s="52" t="n"/>
      <c r="X88" s="52" t="n"/>
      <c r="Y88" s="52" t="n"/>
    </row>
    <row r="89">
      <c r="W89" s="52" t="n"/>
      <c r="X89" s="52" t="n"/>
      <c r="Y89" s="52" t="n"/>
    </row>
    <row r="90">
      <c r="B90" t="inlineStr">
        <is>
          <t>AFTERHOURS CURRENT JOBS COMPLETED (AWAITING PAYMENT)</t>
        </is>
      </c>
      <c r="W90" s="52" t="n"/>
      <c r="X90" s="52" t="n"/>
      <c r="Y90" s="52" t="n"/>
    </row>
    <row r="91">
      <c r="W91" s="52" t="n"/>
      <c r="X91" s="52" t="n"/>
      <c r="Y91" s="52" t="n"/>
    </row>
    <row r="92">
      <c r="W92" s="52" t="n"/>
      <c r="X92" s="52" t="n"/>
      <c r="Y92" s="52" t="n"/>
    </row>
    <row r="93">
      <c r="W93" s="52" t="n"/>
      <c r="X93" s="52" t="n"/>
      <c r="Y93" s="52" t="n"/>
    </row>
    <row r="94">
      <c r="W94" s="52" t="n"/>
      <c r="X94" s="52" t="n"/>
      <c r="Y94" s="52" t="n"/>
    </row>
    <row r="95">
      <c r="W95" s="52" t="n"/>
      <c r="X95" s="52" t="n"/>
      <c r="Y95" s="52" t="n"/>
    </row>
    <row r="96">
      <c r="W96" s="52" t="n"/>
      <c r="X96" s="52" t="n"/>
      <c r="Y96" s="52" t="n"/>
    </row>
    <row r="97">
      <c r="F97" s="56">
        <f>SUM(F91:F96)</f>
        <v/>
      </c>
      <c r="G97" s="56">
        <f>SUM(G91:G96)</f>
        <v/>
      </c>
      <c r="H97" s="56">
        <f>SUM(H91:H96)</f>
        <v/>
      </c>
      <c r="I97" s="56">
        <f>SUM(I91:I96)</f>
        <v/>
      </c>
      <c r="W97" s="52" t="n"/>
      <c r="X97" s="52" t="n"/>
      <c r="Y97" s="52" t="n"/>
    </row>
    <row r="98">
      <c r="W98" s="52" t="n"/>
      <c r="X98" s="52" t="n"/>
      <c r="Y98" s="52" t="n"/>
    </row>
    <row r="99">
      <c r="B99" s="59" t="inlineStr">
        <is>
          <t>CURRENT WORK ORDERS (AWAITING PAYMENT)</t>
        </is>
      </c>
      <c r="W99" s="52" t="n"/>
      <c r="X99" s="52" t="n"/>
      <c r="Y99" s="52" t="n"/>
    </row>
    <row r="100">
      <c r="W100" s="52" t="n"/>
      <c r="X100" s="52" t="n"/>
      <c r="Y100" s="52" t="n"/>
    </row>
    <row r="101">
      <c r="W101" s="52" t="n"/>
      <c r="X101" s="52" t="n"/>
      <c r="Y101" s="52" t="n"/>
    </row>
    <row r="102">
      <c r="W102" s="52" t="n"/>
      <c r="X102" s="52" t="n"/>
      <c r="Y102" s="52" t="n"/>
    </row>
    <row r="103">
      <c r="W103" s="52" t="n"/>
      <c r="X103" s="52" t="n"/>
      <c r="Y103" s="52" t="n"/>
    </row>
    <row r="104">
      <c r="W104" s="52" t="n"/>
      <c r="X104" s="52" t="n"/>
      <c r="Y104" s="52" t="n"/>
    </row>
    <row r="105">
      <c r="W105" s="52" t="n"/>
      <c r="X105" s="52" t="n"/>
      <c r="Y105" s="52" t="n"/>
    </row>
    <row r="106">
      <c r="F106" s="56">
        <f>SUM(F100:F105)</f>
        <v/>
      </c>
      <c r="G106" s="56">
        <f>SUM(G100:G105)</f>
        <v/>
      </c>
      <c r="H106" s="56">
        <f>SUM(H100:H105)</f>
        <v/>
      </c>
      <c r="I106" s="56">
        <f>SUM(I100:I105)</f>
        <v/>
      </c>
      <c r="W106" s="52" t="n"/>
      <c r="X106" s="52" t="n"/>
      <c r="Y106" s="52" t="n"/>
    </row>
    <row r="107">
      <c r="W107" s="52" t="n"/>
      <c r="X107" s="52" t="n"/>
      <c r="Y107" s="52" t="n"/>
    </row>
    <row r="108">
      <c r="B108" s="59" t="inlineStr">
        <is>
          <t>WEEKEND WORK ORDERS (AWAITING PAYMENT)</t>
        </is>
      </c>
      <c r="W108" s="52" t="n"/>
      <c r="X108" s="52" t="n"/>
      <c r="Y108" s="52" t="n"/>
    </row>
    <row r="109">
      <c r="W109" s="52" t="n"/>
      <c r="X109" s="52" t="n"/>
      <c r="Y109" s="52" t="n"/>
    </row>
    <row r="110">
      <c r="W110" s="52" t="n"/>
      <c r="X110" s="52" t="n"/>
      <c r="Y110" s="52" t="n"/>
    </row>
    <row r="111">
      <c r="W111" s="52" t="n"/>
      <c r="X111" s="52" t="n"/>
      <c r="Y111" s="52" t="n"/>
    </row>
    <row r="112">
      <c r="W112" s="52" t="n"/>
      <c r="X112" s="52" t="n"/>
      <c r="Y112" s="52" t="n"/>
    </row>
    <row r="113">
      <c r="W113" s="52" t="n"/>
      <c r="X113" s="52" t="n"/>
      <c r="Y113" s="52" t="n"/>
    </row>
    <row r="114">
      <c r="W114" s="52" t="n"/>
      <c r="X114" s="52" t="n"/>
      <c r="Y114" s="52" t="n"/>
    </row>
    <row r="115">
      <c r="F115" s="56">
        <f>SUM(F109:F114)</f>
        <v/>
      </c>
      <c r="G115" s="56">
        <f>SUM(G109:G114)</f>
        <v/>
      </c>
      <c r="H115" s="56">
        <f>SUM(H109:H114)</f>
        <v/>
      </c>
      <c r="I115" s="56">
        <f>SUM(I109:I114)</f>
        <v/>
      </c>
      <c r="W115" s="52" t="n"/>
      <c r="X115" s="52" t="n"/>
      <c r="Y115" s="52" t="n"/>
    </row>
    <row r="116">
      <c r="W116" s="52" t="n"/>
      <c r="X116" s="52" t="n"/>
      <c r="Y116" s="52" t="n"/>
    </row>
    <row r="117">
      <c r="B117" t="inlineStr">
        <is>
          <t>AFTERHOURS WORK ORDERS (AWAITING PAYMENT)</t>
        </is>
      </c>
      <c r="W117" s="52" t="n"/>
      <c r="X117" s="52" t="n"/>
      <c r="Y117" s="52" t="n"/>
    </row>
    <row r="118">
      <c r="W118" s="52" t="n"/>
      <c r="X118" s="52" t="n"/>
      <c r="Y118" s="52" t="n"/>
    </row>
    <row r="119">
      <c r="W119" s="52" t="n"/>
      <c r="X119" s="52" t="n"/>
      <c r="Y119" s="52" t="n"/>
    </row>
    <row r="120">
      <c r="W120" s="52" t="n"/>
      <c r="X120" s="52" t="n"/>
      <c r="Y120" s="52" t="n"/>
    </row>
    <row r="121">
      <c r="W121" s="52" t="n"/>
      <c r="X121" s="52" t="n"/>
      <c r="Y121" s="52" t="n"/>
    </row>
    <row r="122">
      <c r="W122" s="52" t="n"/>
      <c r="X122" s="52" t="n"/>
      <c r="Y122" s="52" t="n"/>
    </row>
    <row r="123">
      <c r="W123" s="52" t="n"/>
      <c r="X123" s="52" t="n"/>
      <c r="Y123" s="52" t="n"/>
    </row>
    <row r="124">
      <c r="F124" s="56">
        <f>SUM(F118:F123)</f>
        <v/>
      </c>
      <c r="G124" s="56">
        <f>SUM(G118:G123)</f>
        <v/>
      </c>
      <c r="H124" s="56">
        <f>SUM(H118:H123)</f>
        <v/>
      </c>
      <c r="I124" s="56">
        <f>SUM(I118:I123)</f>
        <v/>
      </c>
      <c r="W124" s="52" t="n"/>
      <c r="X124" s="52" t="n"/>
      <c r="Y124" s="52" t="n"/>
    </row>
    <row r="125">
      <c r="W125" s="52" t="n"/>
      <c r="X125" s="52" t="n"/>
      <c r="Y125" s="52" t="n"/>
    </row>
    <row r="126">
      <c r="B126" t="inlineStr">
        <is>
          <t>UNSUCCESSFUL JOBS</t>
        </is>
      </c>
      <c r="W126" s="52" t="n"/>
      <c r="X126" s="52" t="n"/>
      <c r="Y126" s="52" t="n"/>
    </row>
    <row r="127">
      <c r="W127" s="52" t="n"/>
      <c r="X127" s="52" t="n"/>
      <c r="Y127" s="52" t="n"/>
    </row>
    <row r="128">
      <c r="W128" s="52" t="n"/>
      <c r="X128" s="52" t="n"/>
      <c r="Y128" s="52" t="n"/>
    </row>
    <row r="129">
      <c r="W129" s="52" t="n"/>
      <c r="X129" s="52" t="n"/>
      <c r="Y129" s="52" t="n"/>
    </row>
    <row r="130">
      <c r="W130" s="52" t="n"/>
      <c r="X130" s="52" t="n"/>
      <c r="Y130" s="52" t="n"/>
    </row>
    <row r="131">
      <c r="W131" s="52" t="n"/>
      <c r="X131" s="52" t="n"/>
      <c r="Y131" s="52" t="n"/>
    </row>
    <row r="132">
      <c r="W132" s="52" t="n"/>
      <c r="X132" s="52" t="n"/>
      <c r="Y132" s="52" t="n"/>
    </row>
    <row r="133">
      <c r="F133" s="56">
        <f>SUM(F127:F132)</f>
        <v/>
      </c>
      <c r="G133" s="56">
        <f>SUM(G127:G132)</f>
        <v/>
      </c>
      <c r="H133" s="56">
        <f>SUM(H127:H132)</f>
        <v/>
      </c>
      <c r="I133" s="56">
        <f>SUM(I127:I132)</f>
        <v/>
      </c>
      <c r="W133" s="52" t="n"/>
      <c r="X133" s="52" t="n"/>
      <c r="Y133" s="52" t="n"/>
    </row>
    <row r="134">
      <c r="W134" s="52" t="n"/>
      <c r="X134" s="52" t="n"/>
      <c r="Y134" s="52" t="n"/>
    </row>
    <row r="135">
      <c r="B135" t="inlineStr">
        <is>
          <t>WEEKEND UNSUCCESSFUL JOBS</t>
        </is>
      </c>
      <c r="W135" s="52" t="n"/>
      <c r="X135" s="52" t="n"/>
      <c r="Y135" s="52" t="n"/>
    </row>
    <row r="136">
      <c r="W136" s="52" t="n"/>
      <c r="X136" s="52" t="n"/>
      <c r="Y136" s="52" t="n"/>
    </row>
    <row r="137">
      <c r="W137" s="52" t="n"/>
      <c r="X137" s="52" t="n"/>
      <c r="Y137" s="52" t="n"/>
    </row>
    <row r="138">
      <c r="W138" s="52" t="n"/>
      <c r="X138" s="52" t="n"/>
      <c r="Y138" s="52" t="n"/>
    </row>
    <row r="139">
      <c r="W139" s="52" t="n"/>
      <c r="X139" s="52" t="n"/>
      <c r="Y139" s="52" t="n"/>
    </row>
    <row r="140">
      <c r="W140" s="52" t="n"/>
      <c r="X140" s="52" t="n"/>
      <c r="Y140" s="52" t="n"/>
    </row>
    <row r="141">
      <c r="W141" s="52" t="n"/>
      <c r="X141" s="52" t="n"/>
      <c r="Y141" s="52" t="n"/>
    </row>
    <row r="142">
      <c r="F142" s="56">
        <f>SUM(F136:F141)</f>
        <v/>
      </c>
      <c r="G142" s="56">
        <f>SUM(G136:G141)</f>
        <v/>
      </c>
      <c r="H142" s="56">
        <f>SUM(H136:H141)</f>
        <v/>
      </c>
      <c r="I142" s="56">
        <f>SUM(I136:I141)</f>
        <v/>
      </c>
      <c r="W142" s="52" t="n"/>
      <c r="X142" s="52" t="n"/>
      <c r="Y142" s="52" t="n"/>
    </row>
    <row r="143">
      <c r="W143" s="52" t="n"/>
      <c r="X143" s="52" t="n"/>
      <c r="Y143" s="52" t="n"/>
    </row>
    <row r="144">
      <c r="B144" t="inlineStr">
        <is>
          <t>AFTERHOURS UNSUCCESSFUL JOBS</t>
        </is>
      </c>
      <c r="W144" s="52" t="n"/>
      <c r="X144" s="52" t="n"/>
      <c r="Y144" s="52" t="n"/>
    </row>
    <row r="145">
      <c r="W145" s="52" t="n"/>
      <c r="X145" s="52" t="n"/>
      <c r="Y145" s="52" t="n"/>
    </row>
    <row r="146">
      <c r="W146" s="52" t="n"/>
      <c r="X146" s="52" t="n"/>
      <c r="Y146" s="52" t="n"/>
    </row>
    <row r="147">
      <c r="W147" s="52" t="n"/>
      <c r="X147" s="52" t="n"/>
      <c r="Y147" s="52" t="n"/>
    </row>
    <row r="148">
      <c r="W148" s="52" t="n"/>
      <c r="X148" s="52" t="n"/>
      <c r="Y148" s="52" t="n"/>
    </row>
    <row r="149">
      <c r="W149" s="52" t="n"/>
      <c r="X149" s="52" t="n"/>
      <c r="Y149" s="52" t="n"/>
    </row>
    <row r="150">
      <c r="W150" s="52" t="n"/>
      <c r="X150" s="52" t="n"/>
      <c r="Y150" s="52" t="n"/>
    </row>
    <row r="151">
      <c r="F151" s="56">
        <f>SUM(F145:F150)</f>
        <v/>
      </c>
      <c r="G151" s="56">
        <f>SUM(G145:G150)</f>
        <v/>
      </c>
      <c r="H151" s="56">
        <f>SUM(H145:H150)</f>
        <v/>
      </c>
      <c r="I151" s="56">
        <f>SUM(I145:I150)</f>
        <v/>
      </c>
      <c r="W151" s="52" t="n"/>
      <c r="X151" s="52" t="n"/>
      <c r="Y151" s="52" t="n"/>
    </row>
    <row r="152">
      <c r="W152" s="52" t="n"/>
      <c r="X152" s="52" t="n"/>
      <c r="Y152" s="52" t="n"/>
    </row>
    <row r="153">
      <c r="B153" t="inlineStr">
        <is>
          <t>WEEK UNCATEGORISED</t>
        </is>
      </c>
      <c r="W153" s="52" t="n"/>
      <c r="X153" s="52" t="n"/>
      <c r="Y153" s="52" t="n"/>
    </row>
    <row r="154">
      <c r="W154" s="52" t="n"/>
      <c r="X154" s="52" t="n"/>
      <c r="Y154" s="52" t="n"/>
    </row>
    <row r="155">
      <c r="W155" s="52" t="n"/>
      <c r="X155" s="52" t="n"/>
      <c r="Y155" s="52" t="n"/>
    </row>
    <row r="156">
      <c r="W156" s="52" t="n"/>
      <c r="X156" s="52" t="n"/>
      <c r="Y156" s="52" t="n"/>
    </row>
    <row r="157">
      <c r="W157" s="52" t="n"/>
      <c r="X157" s="52" t="n"/>
      <c r="Y157" s="52" t="n"/>
    </row>
    <row r="158">
      <c r="W158" s="52" t="n"/>
      <c r="X158" s="52" t="n"/>
      <c r="Y158" s="52" t="n"/>
    </row>
    <row r="159">
      <c r="W159" s="52" t="n"/>
      <c r="X159" s="52" t="n"/>
      <c r="Y159" s="52" t="n"/>
    </row>
    <row r="160">
      <c r="F160" s="56">
        <f>SUM(F154:F159)</f>
        <v/>
      </c>
      <c r="G160" s="56">
        <f>SUM(G154:G159)</f>
        <v/>
      </c>
      <c r="H160" s="56">
        <f>SUM(H154:H159)</f>
        <v/>
      </c>
      <c r="I160" s="56">
        <f>SUM(I154:I159)</f>
        <v/>
      </c>
      <c r="W160" s="52" t="n"/>
      <c r="X160" s="52" t="n"/>
      <c r="Y160" s="52" t="n"/>
    </row>
    <row r="161">
      <c r="W161" s="52" t="n"/>
      <c r="X161" s="52" t="n"/>
      <c r="Y161" s="52" t="n"/>
    </row>
    <row r="162">
      <c r="B162" t="inlineStr">
        <is>
          <t>WEEKEND UNCATEGORISED</t>
        </is>
      </c>
      <c r="W162" s="52" t="n"/>
      <c r="X162" s="52" t="n"/>
      <c r="Y162" s="52" t="n"/>
    </row>
    <row r="163">
      <c r="W163" s="52" t="n"/>
      <c r="X163" s="52" t="n"/>
      <c r="Y163" s="52" t="n"/>
    </row>
    <row r="164">
      <c r="W164" s="52" t="n"/>
      <c r="X164" s="52" t="n"/>
      <c r="Y164" s="52" t="n"/>
    </row>
    <row r="165">
      <c r="W165" s="52" t="n"/>
      <c r="X165" s="52" t="n"/>
      <c r="Y165" s="52" t="n"/>
    </row>
    <row r="166">
      <c r="W166" s="52" t="n"/>
      <c r="X166" s="52" t="n"/>
      <c r="Y166" s="52" t="n"/>
    </row>
    <row r="167">
      <c r="W167" s="52" t="n"/>
      <c r="X167" s="52" t="n"/>
      <c r="Y167" s="52" t="n"/>
    </row>
    <row r="168">
      <c r="W168" s="52" t="n"/>
      <c r="X168" s="52" t="n"/>
      <c r="Y168" s="52" t="n"/>
    </row>
    <row r="169">
      <c r="F169" s="56">
        <f>SUM(F163:F168)</f>
        <v/>
      </c>
      <c r="G169" s="56">
        <f>SUM(G163:G168)</f>
        <v/>
      </c>
      <c r="H169" s="56">
        <f>SUM(H163:H168)</f>
        <v/>
      </c>
      <c r="I169" s="56">
        <f>SUM(I163:I168)</f>
        <v/>
      </c>
      <c r="W169" s="52" t="n"/>
      <c r="X169" s="52" t="n"/>
      <c r="Y169" s="52" t="n"/>
    </row>
    <row r="170">
      <c r="W170" s="52" t="n"/>
      <c r="X170" s="52" t="n"/>
      <c r="Y170" s="52" t="n"/>
    </row>
    <row r="171">
      <c r="B171" t="inlineStr">
        <is>
          <t>AFTERHOURS UNCATEGORISED</t>
        </is>
      </c>
      <c r="W171" s="52" t="n"/>
      <c r="X171" s="52" t="n"/>
      <c r="Y171" s="52" t="n"/>
    </row>
    <row r="172">
      <c r="W172" s="52" t="n"/>
      <c r="X172" s="52" t="n"/>
      <c r="Y172" s="52" t="n"/>
    </row>
    <row r="173">
      <c r="W173" s="52" t="n"/>
      <c r="X173" s="52" t="n"/>
      <c r="Y173" s="52" t="n"/>
    </row>
    <row r="174">
      <c r="W174" s="52" t="n"/>
      <c r="X174" s="52" t="n"/>
      <c r="Y174" s="52" t="n"/>
    </row>
    <row r="175">
      <c r="W175" s="52" t="n"/>
      <c r="X175" s="52" t="n"/>
      <c r="Y175" s="52" t="n"/>
    </row>
    <row r="176">
      <c r="W176" s="52" t="n"/>
      <c r="X176" s="52" t="n"/>
      <c r="Y176" s="52" t="n"/>
    </row>
    <row r="177">
      <c r="W177" s="52" t="n"/>
      <c r="X177" s="52" t="n"/>
      <c r="Y177" s="52" t="n"/>
    </row>
    <row r="178">
      <c r="F178" s="56">
        <f>SUM(F172:F177)</f>
        <v/>
      </c>
      <c r="G178" s="56">
        <f>SUM(G172:G177)</f>
        <v/>
      </c>
      <c r="H178" s="56">
        <f>SUM(H172:H177)</f>
        <v/>
      </c>
      <c r="I178" s="56">
        <f>SUM(I172:I177)</f>
        <v/>
      </c>
    </row>
  </sheetData>
  <conditionalFormatting sqref="K29:U34">
    <cfRule type="cellIs" priority="1" operator="equal" dxfId="0">
      <formula>0</formula>
    </cfRule>
  </conditionalFormatting>
  <conditionalFormatting sqref="K39:U44">
    <cfRule type="cellIs" priority="2" operator="equal" dxfId="0">
      <formula>0</formula>
    </cfRule>
  </conditionalFormatting>
  <conditionalFormatting sqref="K48:U53">
    <cfRule type="cellIs" priority="3" operator="equal" dxfId="0">
      <formula>0</formula>
    </cfRule>
  </conditionalFormatting>
  <conditionalFormatting sqref="K57:U69">
    <cfRule type="cellIs" priority="4" operator="equal" dxfId="0">
      <formula>0</formula>
    </cfRule>
  </conditionalFormatting>
  <conditionalFormatting sqref="K73:U78">
    <cfRule type="cellIs" priority="5" operator="equal" dxfId="0">
      <formula>0</formula>
    </cfRule>
  </conditionalFormatting>
  <conditionalFormatting sqref="K82:U87">
    <cfRule type="cellIs" priority="6" operator="equal" dxfId="0">
      <formula>0</formula>
    </cfRule>
  </conditionalFormatting>
  <conditionalFormatting sqref="K91:U96">
    <cfRule type="cellIs" priority="7" operator="equal" dxfId="0">
      <formula>0</formula>
    </cfRule>
  </conditionalFormatting>
  <conditionalFormatting sqref="K100:U105">
    <cfRule type="cellIs" priority="8" operator="equal" dxfId="0">
      <formula>0</formula>
    </cfRule>
  </conditionalFormatting>
  <conditionalFormatting sqref="K109:U114">
    <cfRule type="cellIs" priority="9" operator="equal" dxfId="0">
      <formula>0</formula>
    </cfRule>
  </conditionalFormatting>
  <conditionalFormatting sqref="K118:U123">
    <cfRule type="cellIs" priority="10" operator="equal" dxfId="0">
      <formula>0</formula>
    </cfRule>
  </conditionalFormatting>
  <conditionalFormatting sqref="K127:U132">
    <cfRule type="cellIs" priority="11" operator="equal" dxfId="0">
      <formula>0</formula>
    </cfRule>
  </conditionalFormatting>
  <conditionalFormatting sqref="K136:U141">
    <cfRule type="cellIs" priority="12" operator="equal" dxfId="0">
      <formula>0</formula>
    </cfRule>
  </conditionalFormatting>
  <conditionalFormatting sqref="K145:U150">
    <cfRule type="cellIs" priority="13" operator="equal" dxfId="0">
      <formula>0</formula>
    </cfRule>
  </conditionalFormatting>
  <conditionalFormatting sqref="K154:U159">
    <cfRule type="cellIs" priority="14" operator="equal" dxfId="0">
      <formula>0</formula>
    </cfRule>
  </conditionalFormatting>
  <conditionalFormatting sqref="K163:U168">
    <cfRule type="cellIs" priority="15" operator="equal" dxfId="0">
      <formula>0</formula>
    </cfRule>
  </conditionalFormatting>
  <conditionalFormatting sqref="K172:U177">
    <cfRule type="cellIs" priority="16" operator="equal" dxfId="0">
      <formula>0</formula>
    </cfRule>
  </conditionalFormatting>
  <conditionalFormatting sqref="I29:I44">
    <cfRule type="expression" priority="17" dxfId="1">
      <formula>$K29="N"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2025-12-09T00:05:11Z</dcterms:created>
  <dcterms:modified xsi:type="dcterms:W3CDTF">2025-12-09T00:05:11Z</dcterms:modified>
</cp:coreProperties>
</file>